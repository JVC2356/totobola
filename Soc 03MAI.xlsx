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B39A8037-80FB-432C-B17E-B0E6104F6828}" xr6:coauthVersionLast="47" xr6:coauthVersionMax="47" xr10:uidLastSave="{00000000-0000-0000-0000-000000000000}"/>
  <bookViews>
    <workbookView xWindow="-108" yWindow="-108" windowWidth="23256" windowHeight="12456" activeTab="1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4" l="1"/>
  <c r="S19" i="4"/>
  <c r="S18" i="4"/>
  <c r="S17" i="4"/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1" i="4"/>
  <c r="Q21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21" i="4"/>
  <c r="N21" i="4"/>
  <c r="P10" i="4"/>
  <c r="S21" i="4"/>
  <c r="J21" i="4"/>
  <c r="H21" i="4"/>
  <c r="F21" i="4"/>
  <c r="G21" i="4"/>
  <c r="M21" i="4"/>
  <c r="E21" i="4"/>
  <c r="B21" i="4"/>
  <c r="K21" i="4"/>
  <c r="C21" i="4"/>
  <c r="D21" i="4"/>
  <c r="L21" i="4"/>
  <c r="I21" i="4"/>
  <c r="P21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<sst xmlns="http://schemas.openxmlformats.org/spreadsheetml/2006/main" count="569" uniqueCount="78">
  <si>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</si>
  <si>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</si>
  <si>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</si>
  <si>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</si>
  <si>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</si>
  <si>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</si>
  <si>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</si>
  <si>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</si>
  <si>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</si>
  <si>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</si>
  <si>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</si>
  <si>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</si>
  <si>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</si>
  <si>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</si>
  <si>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</si>
  <si>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</si>
  <si>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</si>
  <si>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</si>
  <si>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</si>
  <si>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</si>
  <si>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</si>
  <si>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</si>
  <si>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</si>
  <si>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</si>
  <si>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</si>
  <si>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</si>
  <si>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</si>
  <si>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</si>
  <si>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</si>
  <si>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</si>
  <si>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</si>
  <si>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</si>
  <si>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</si>
  <si>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</si>
  <si>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</si>
  <si>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</si>
  <si>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</si>
  <si>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</si>
  <si>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</si>
  <si>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</si>
  <si>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</si>
  <si>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</si>
  <si>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</si>
  <si>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</si>
  <si>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</si>
  <si>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</si>
  <si>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</si>
  <si>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</si>
  <si>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</si>
  <si>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</si>
  <si>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</si>
  <si>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</si>
  <si>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</si>
  <si>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</si>
  <si>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</si>
  <si>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</si>
  <si>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</si>
  <si>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</si>
  <si>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</si>
  <si>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</si>
  <si>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</si>
  <si>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</si>
  <si>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</si>
  <si>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27+10mil</t>
  </si>
  <si>
    <t>28+2Mil</t>
  </si>
  <si>
    <t>1 FC Porto-FC Alverca</t>
  </si>
  <si>
    <t>2 FC Famalicão-SL Benfica</t>
  </si>
  <si>
    <t>3 Arouca-Santa Clara</t>
  </si>
  <si>
    <t>4 Moreirense-E. Amadora</t>
  </si>
  <si>
    <t>5 Nacional-AFS</t>
  </si>
  <si>
    <t>6 Casa Pia AC-Tondela</t>
  </si>
  <si>
    <t>7 Sp. Braga-Estoril</t>
  </si>
  <si>
    <t>8 Rio Ave-Gil Vicente</t>
  </si>
  <si>
    <t>9 UD Leiria-Farense</t>
  </si>
  <si>
    <t>10 Portimonense-Desp. Chaves</t>
  </si>
  <si>
    <t>11 P. Ferreira-Feirense</t>
  </si>
  <si>
    <t>12 Académica-Varzim</t>
  </si>
  <si>
    <t>13 Como-Nápoles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</si>
</sst>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8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workbookViewId="0">
      <pane xSplit="1" topLeftCell="B1" activePane="topRight" state="frozen"/>
      <selection pane="topRight" activeCell="C2" sqref="C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3" t="s">
        <v>0</v>
      </c>
      <c r="I1" s="34">
        <f>COUNTIF($C$18:$AY$18,13)</f>
        <v>0</v>
      </c>
      <c r="J1" s="34">
        <f>COUNTIF($C$18:$AY$18,12)</f>
        <v>0</v>
      </c>
      <c r="K1" s="34">
        <f>COUNTIF($C$18:$AY$18,11)</f>
        <v>0</v>
      </c>
      <c r="L1" s="34">
        <f>COUNTIF($C$18:$AY$18,10)</f>
        <v>0</v>
      </c>
      <c r="M1" s="34">
        <f>COUNTIF($C$18:$AY$18,9)</f>
        <v>1</v>
      </c>
      <c r="N1" s="34">
        <f>COUNTIF($C$18:$AY$18,8)</f>
        <v>0</v>
      </c>
      <c r="O1" s="34">
        <f>COUNTIF($C$18:$AY$18,7)</f>
        <v>3</v>
      </c>
      <c r="P1" s="34">
        <f>COUNTIF($C$18:$AY$18,6)</f>
        <v>8</v>
      </c>
      <c r="Q1" s="34">
        <f>COUNTIF($C$18:$AY$18,5)</f>
        <v>7</v>
      </c>
      <c r="R1" s="34">
        <f>COUNTIF($C$18:$AY$18,4)</f>
        <v>6</v>
      </c>
      <c r="S1" s="34">
        <f>COUNTIF($C$18:$AY$18,3)</f>
        <v>2</v>
      </c>
      <c r="T1" s="34">
        <f>COUNTIF($C$18:$AY$18,2)</f>
        <v>3</v>
      </c>
      <c r="U1" s="34">
        <f>COUNTIF($C$18:$AY$18,1)</f>
        <v>0</v>
      </c>
      <c r="V1" s="34">
        <f>COUNTIF($C$18:$AY$18,0)</f>
        <v>0</v>
      </c>
      <c r="AW1" s="4"/>
    </row>
    <row r="2" spans="1:111" s="4" customFormat="1" ht="20.399999999999999" customHeight="1" x14ac:dyDescent="0.35">
      <c r="A2" s="46" t="s">
        <v>65</v>
      </c>
      <c r="B2" s="44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  <c r="AC2" s="1" t="s">
        <v>4</v>
      </c>
      <c r="AD2" s="1" t="s">
        <v>4</v>
      </c>
      <c r="AE2" s="1" t="s">
        <v>4</v>
      </c>
      <c r="AF2" s="1" t="s">
        <v>4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30</v>
      </c>
      <c r="BB2" s="8">
        <f t="shared" ref="BB2:BB14" si="1">COUNTIF(C2:AY2,"x")</f>
        <v>0</v>
      </c>
      <c r="BC2" s="8">
        <f t="shared" ref="BC2:BC14" si="2">COUNTIF(C2:AY2,2)</f>
        <v>0</v>
      </c>
      <c r="BD2" s="6">
        <f>BA2+BB2+BC2</f>
        <v>30</v>
      </c>
      <c r="BE2" s="9">
        <f>BA2/$BD$2*100</f>
        <v>100</v>
      </c>
      <c r="BF2" s="9">
        <f t="shared" ref="BF2:BG2" si="3">BB2/$BD$2*100</f>
        <v>0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35">
      <c r="A3" s="46" t="s">
        <v>66</v>
      </c>
      <c r="B3" s="44" t="s">
        <v>41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43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0</v>
      </c>
      <c r="BB3" s="14">
        <f t="shared" si="1"/>
        <v>5</v>
      </c>
      <c r="BC3" s="14">
        <f t="shared" si="2"/>
        <v>25</v>
      </c>
      <c r="BD3" s="6">
        <f t="shared" ref="BD3:BD14" si="4">BA3+BB3+BC3</f>
        <v>30</v>
      </c>
      <c r="BE3" s="9">
        <f t="shared" ref="BE3:BE14" si="5">BA3/$BD$2*100</f>
        <v>0</v>
      </c>
      <c r="BF3" s="9">
        <f t="shared" ref="BF3:BF14" si="6">BB3/$BD$2*100</f>
        <v>16.666666666666664</v>
      </c>
      <c r="BG3" s="9">
        <f t="shared" ref="BG3:BG14" si="7">BC3/$BD$2*100</f>
        <v>83.333333333333343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35">
      <c r="A4" s="46" t="s">
        <v>67</v>
      </c>
      <c r="B4" s="44" t="s">
        <v>41</v>
      </c>
      <c r="C4" s="1" t="s">
        <v>29</v>
      </c>
      <c r="D4" s="1" t="s">
        <v>3</v>
      </c>
      <c r="E4" s="1" t="s">
        <v>3</v>
      </c>
      <c r="F4" s="1" t="s">
        <v>3</v>
      </c>
      <c r="G4" s="1" t="s">
        <v>4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3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11</v>
      </c>
      <c r="BB4" s="8">
        <f t="shared" si="1"/>
        <v>11</v>
      </c>
      <c r="BC4" s="8">
        <f t="shared" si="2"/>
        <v>8</v>
      </c>
      <c r="BD4" s="15">
        <f t="shared" si="4"/>
        <v>30</v>
      </c>
      <c r="BE4" s="16">
        <f t="shared" si="5"/>
        <v>36.666666666666664</v>
      </c>
      <c r="BF4" s="16">
        <f t="shared" si="6"/>
        <v>36.666666666666664</v>
      </c>
      <c r="BG4" s="16">
        <f t="shared" si="7"/>
        <v>26.666666666666668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35">
      <c r="A5" s="40" t="s">
        <v>68</v>
      </c>
      <c r="B5" s="44" t="s">
        <v>4</v>
      </c>
      <c r="C5" s="1" t="s">
        <v>4</v>
      </c>
      <c r="D5" s="1" t="s">
        <v>29</v>
      </c>
      <c r="E5" s="1" t="s">
        <v>3</v>
      </c>
      <c r="F5" s="1" t="s">
        <v>4</v>
      </c>
      <c r="G5" s="1" t="s">
        <v>4</v>
      </c>
      <c r="H5" s="1" t="s">
        <v>29</v>
      </c>
      <c r="I5" s="1" t="s">
        <v>3</v>
      </c>
      <c r="J5" s="1" t="s">
        <v>3</v>
      </c>
      <c r="K5" s="1" t="s">
        <v>3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29</v>
      </c>
      <c r="S5" s="1" t="s">
        <v>3</v>
      </c>
      <c r="T5" s="1" t="s">
        <v>3</v>
      </c>
      <c r="U5" s="1" t="s">
        <v>3</v>
      </c>
      <c r="V5" s="1" t="s">
        <v>4</v>
      </c>
      <c r="W5" s="1" t="s">
        <v>29</v>
      </c>
      <c r="X5" s="1" t="s">
        <v>29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4</v>
      </c>
      <c r="AE5" s="1" t="s">
        <v>4</v>
      </c>
      <c r="AF5" s="1" t="s">
        <v>4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13</v>
      </c>
      <c r="BB5" s="11">
        <f t="shared" si="1"/>
        <v>5</v>
      </c>
      <c r="BC5" s="11">
        <f t="shared" si="2"/>
        <v>12</v>
      </c>
      <c r="BD5" s="17">
        <f t="shared" si="4"/>
        <v>30</v>
      </c>
      <c r="BE5" s="18">
        <f t="shared" si="5"/>
        <v>43.333333333333336</v>
      </c>
      <c r="BF5" s="18">
        <f t="shared" si="6"/>
        <v>16.666666666666664</v>
      </c>
      <c r="BG5" s="18">
        <f t="shared" si="7"/>
        <v>40</v>
      </c>
      <c r="BH5" s="13"/>
      <c r="BI5" s="13"/>
      <c r="BJ5" s="13"/>
    </row>
    <row r="6" spans="1:111" s="12" customFormat="1" ht="20.399999999999999" customHeight="1" x14ac:dyDescent="0.35">
      <c r="A6" s="40" t="s">
        <v>69</v>
      </c>
      <c r="B6" s="44" t="s">
        <v>3</v>
      </c>
      <c r="C6" s="1" t="s">
        <v>4</v>
      </c>
      <c r="D6" s="1" t="s">
        <v>4</v>
      </c>
      <c r="E6" s="1" t="s">
        <v>3</v>
      </c>
      <c r="F6" s="1" t="s">
        <v>4</v>
      </c>
      <c r="G6" s="1" t="s">
        <v>29</v>
      </c>
      <c r="H6" s="1" t="s">
        <v>29</v>
      </c>
      <c r="I6" s="1" t="s">
        <v>4</v>
      </c>
      <c r="J6" s="1" t="s">
        <v>4</v>
      </c>
      <c r="K6" s="1" t="s">
        <v>4</v>
      </c>
      <c r="L6" s="1" t="s">
        <v>29</v>
      </c>
      <c r="M6" s="1" t="s">
        <v>4</v>
      </c>
      <c r="N6" s="43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29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29</v>
      </c>
      <c r="AE6" s="1" t="s">
        <v>4</v>
      </c>
      <c r="AF6" s="1" t="s">
        <v>4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24</v>
      </c>
      <c r="BB6" s="11">
        <f t="shared" si="1"/>
        <v>5</v>
      </c>
      <c r="BC6" s="11">
        <f t="shared" si="2"/>
        <v>1</v>
      </c>
      <c r="BD6" s="17">
        <f t="shared" si="4"/>
        <v>30</v>
      </c>
      <c r="BE6" s="18">
        <f t="shared" si="5"/>
        <v>80</v>
      </c>
      <c r="BF6" s="18">
        <f t="shared" si="6"/>
        <v>16.666666666666664</v>
      </c>
      <c r="BG6" s="18">
        <f t="shared" si="7"/>
        <v>3.3333333333333335</v>
      </c>
      <c r="BH6" s="13"/>
      <c r="BI6" s="13"/>
      <c r="BJ6" s="13"/>
    </row>
    <row r="7" spans="1:111" s="12" customFormat="1" ht="20.399999999999999" customHeight="1" x14ac:dyDescent="0.35">
      <c r="A7" s="40" t="s">
        <v>70</v>
      </c>
      <c r="B7" s="44" t="s">
        <v>3</v>
      </c>
      <c r="C7" s="1" t="s">
        <v>29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3</v>
      </c>
      <c r="I7" s="1" t="s">
        <v>3</v>
      </c>
      <c r="J7" s="1" t="s">
        <v>4</v>
      </c>
      <c r="K7" s="1" t="s">
        <v>4</v>
      </c>
      <c r="L7" s="1" t="s">
        <v>4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29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3</v>
      </c>
      <c r="X7" s="1" t="s">
        <v>4</v>
      </c>
      <c r="Y7" s="1" t="s">
        <v>29</v>
      </c>
      <c r="Z7" s="1" t="s">
        <v>29</v>
      </c>
      <c r="AA7" s="1" t="s">
        <v>29</v>
      </c>
      <c r="AB7" s="1" t="s">
        <v>29</v>
      </c>
      <c r="AC7" s="1" t="s">
        <v>29</v>
      </c>
      <c r="AD7" s="1" t="s">
        <v>4</v>
      </c>
      <c r="AE7" s="1" t="s">
        <v>29</v>
      </c>
      <c r="AF7" s="1" t="s">
        <v>29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7</v>
      </c>
      <c r="BB7" s="11">
        <f t="shared" si="1"/>
        <v>13</v>
      </c>
      <c r="BC7" s="11">
        <f t="shared" si="2"/>
        <v>10</v>
      </c>
      <c r="BD7" s="17">
        <f t="shared" si="4"/>
        <v>30</v>
      </c>
      <c r="BE7" s="18">
        <f t="shared" si="5"/>
        <v>23.333333333333332</v>
      </c>
      <c r="BF7" s="18">
        <f t="shared" si="6"/>
        <v>43.333333333333336</v>
      </c>
      <c r="BG7" s="18">
        <f t="shared" si="7"/>
        <v>33.333333333333329</v>
      </c>
      <c r="BH7" s="13"/>
      <c r="BI7" s="13"/>
      <c r="BJ7" s="13"/>
    </row>
    <row r="8" spans="1:111" s="7" customFormat="1" ht="20.399999999999999" customHeight="1" x14ac:dyDescent="0.35">
      <c r="A8" s="46" t="s">
        <v>71</v>
      </c>
      <c r="B8" s="44" t="s">
        <v>41</v>
      </c>
      <c r="C8" s="1" t="s">
        <v>3</v>
      </c>
      <c r="D8" s="1" t="s">
        <v>3</v>
      </c>
      <c r="E8" s="1" t="s">
        <v>4</v>
      </c>
      <c r="F8" s="1" t="s">
        <v>4</v>
      </c>
      <c r="G8" s="1" t="s">
        <v>3</v>
      </c>
      <c r="H8" s="1" t="s">
        <v>3</v>
      </c>
      <c r="I8" s="1" t="s">
        <v>3</v>
      </c>
      <c r="J8" s="1" t="s">
        <v>29</v>
      </c>
      <c r="K8" s="1" t="s">
        <v>4</v>
      </c>
      <c r="L8" s="1" t="s">
        <v>3</v>
      </c>
      <c r="M8" s="1" t="s">
        <v>29</v>
      </c>
      <c r="N8" s="43" t="s">
        <v>4</v>
      </c>
      <c r="O8" s="1" t="s">
        <v>4</v>
      </c>
      <c r="P8" s="1" t="s">
        <v>4</v>
      </c>
      <c r="Q8" s="1" t="s">
        <v>4</v>
      </c>
      <c r="R8" s="1" t="s">
        <v>3</v>
      </c>
      <c r="S8" s="1" t="s">
        <v>29</v>
      </c>
      <c r="T8" s="1" t="s">
        <v>3</v>
      </c>
      <c r="U8" s="1" t="s">
        <v>29</v>
      </c>
      <c r="V8" s="1" t="s">
        <v>29</v>
      </c>
      <c r="W8" s="1" t="s">
        <v>4</v>
      </c>
      <c r="X8" s="1" t="s">
        <v>3</v>
      </c>
      <c r="Y8" s="1" t="s">
        <v>3</v>
      </c>
      <c r="Z8" s="1" t="s">
        <v>4</v>
      </c>
      <c r="AA8" s="1" t="s">
        <v>4</v>
      </c>
      <c r="AB8" s="1" t="s">
        <v>4</v>
      </c>
      <c r="AC8" s="1" t="s">
        <v>4</v>
      </c>
      <c r="AD8" s="1" t="s">
        <v>3</v>
      </c>
      <c r="AE8" s="1" t="s">
        <v>3</v>
      </c>
      <c r="AF8" s="1" t="s">
        <v>4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13</v>
      </c>
      <c r="BB8" s="8">
        <f t="shared" si="1"/>
        <v>5</v>
      </c>
      <c r="BC8" s="8">
        <f t="shared" si="2"/>
        <v>12</v>
      </c>
      <c r="BD8" s="15">
        <f t="shared" si="4"/>
        <v>30</v>
      </c>
      <c r="BE8" s="16">
        <f t="shared" si="5"/>
        <v>43.333333333333336</v>
      </c>
      <c r="BF8" s="16">
        <f t="shared" si="6"/>
        <v>16.666666666666664</v>
      </c>
      <c r="BG8" s="16">
        <f t="shared" si="7"/>
        <v>40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35">
      <c r="A9" s="46" t="s">
        <v>72</v>
      </c>
      <c r="B9" s="44" t="s">
        <v>41</v>
      </c>
      <c r="C9" s="1" t="s">
        <v>3</v>
      </c>
      <c r="D9" s="1" t="s">
        <v>29</v>
      </c>
      <c r="E9" s="1" t="s">
        <v>29</v>
      </c>
      <c r="F9" s="1" t="s">
        <v>3</v>
      </c>
      <c r="G9" s="1" t="s">
        <v>4</v>
      </c>
      <c r="H9" s="1" t="s">
        <v>3</v>
      </c>
      <c r="I9" s="1" t="s">
        <v>4</v>
      </c>
      <c r="J9" s="1" t="s">
        <v>29</v>
      </c>
      <c r="K9" s="1" t="s">
        <v>29</v>
      </c>
      <c r="L9" s="1" t="s">
        <v>4</v>
      </c>
      <c r="M9" s="1" t="s">
        <v>4</v>
      </c>
      <c r="N9" s="1" t="s">
        <v>29</v>
      </c>
      <c r="O9" s="1" t="s">
        <v>29</v>
      </c>
      <c r="P9" s="1" t="s">
        <v>4</v>
      </c>
      <c r="Q9" s="1" t="s">
        <v>4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4</v>
      </c>
      <c r="W9" s="1" t="s">
        <v>29</v>
      </c>
      <c r="X9" s="1" t="s">
        <v>29</v>
      </c>
      <c r="Y9" s="1" t="s">
        <v>4</v>
      </c>
      <c r="Z9" s="1" t="s">
        <v>29</v>
      </c>
      <c r="AA9" s="1" t="s">
        <v>29</v>
      </c>
      <c r="AB9" s="1" t="s">
        <v>29</v>
      </c>
      <c r="AC9" s="1" t="s">
        <v>3</v>
      </c>
      <c r="AD9" s="1" t="s">
        <v>4</v>
      </c>
      <c r="AE9" s="1" t="s">
        <v>3</v>
      </c>
      <c r="AF9" s="1" t="s">
        <v>29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9</v>
      </c>
      <c r="BB9" s="8">
        <f t="shared" si="1"/>
        <v>16</v>
      </c>
      <c r="BC9" s="8">
        <f t="shared" si="2"/>
        <v>5</v>
      </c>
      <c r="BD9" s="15">
        <f t="shared" si="4"/>
        <v>30</v>
      </c>
      <c r="BE9" s="16">
        <f t="shared" si="5"/>
        <v>30</v>
      </c>
      <c r="BF9" s="16">
        <f t="shared" si="6"/>
        <v>53.333333333333336</v>
      </c>
      <c r="BG9" s="16">
        <f t="shared" si="7"/>
        <v>16.666666666666664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35">
      <c r="A10" s="46" t="s">
        <v>73</v>
      </c>
      <c r="B10" s="44" t="s">
        <v>3</v>
      </c>
      <c r="C10" s="1" t="s">
        <v>29</v>
      </c>
      <c r="D10" s="1" t="s">
        <v>4</v>
      </c>
      <c r="E10" s="1" t="s">
        <v>4</v>
      </c>
      <c r="F10" s="1" t="s">
        <v>3</v>
      </c>
      <c r="G10" s="1" t="s">
        <v>4</v>
      </c>
      <c r="H10" s="1" t="s">
        <v>29</v>
      </c>
      <c r="I10" s="1" t="s">
        <v>29</v>
      </c>
      <c r="J10" s="1" t="s">
        <v>29</v>
      </c>
      <c r="K10" s="1" t="s">
        <v>4</v>
      </c>
      <c r="L10" s="1" t="s">
        <v>4</v>
      </c>
      <c r="M10" s="1" t="s">
        <v>4</v>
      </c>
      <c r="N10" s="1" t="s">
        <v>3</v>
      </c>
      <c r="O10" s="1" t="s">
        <v>4</v>
      </c>
      <c r="P10" s="1" t="s">
        <v>29</v>
      </c>
      <c r="Q10" s="1" t="s">
        <v>3</v>
      </c>
      <c r="R10" s="1" t="s">
        <v>29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29</v>
      </c>
      <c r="Z10" s="1" t="s">
        <v>29</v>
      </c>
      <c r="AA10" s="1" t="s">
        <v>3</v>
      </c>
      <c r="AB10" s="1" t="s">
        <v>4</v>
      </c>
      <c r="AC10" s="1" t="s">
        <v>29</v>
      </c>
      <c r="AD10" s="1" t="s">
        <v>4</v>
      </c>
      <c r="AE10" s="1" t="s">
        <v>3</v>
      </c>
      <c r="AF10" s="1" t="s">
        <v>29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15</v>
      </c>
      <c r="BB10" s="8">
        <f t="shared" si="1"/>
        <v>10</v>
      </c>
      <c r="BC10" s="8">
        <f t="shared" si="2"/>
        <v>5</v>
      </c>
      <c r="BD10" s="15">
        <f t="shared" si="4"/>
        <v>30</v>
      </c>
      <c r="BE10" s="16">
        <f t="shared" si="5"/>
        <v>50</v>
      </c>
      <c r="BF10" s="16">
        <f t="shared" si="6"/>
        <v>33.333333333333329</v>
      </c>
      <c r="BG10" s="16">
        <f t="shared" si="7"/>
        <v>16.666666666666664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35">
      <c r="A11" s="40" t="s">
        <v>74</v>
      </c>
      <c r="B11" s="44" t="s">
        <v>4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3</v>
      </c>
      <c r="H11" s="1" t="s">
        <v>29</v>
      </c>
      <c r="I11" s="1" t="s">
        <v>29</v>
      </c>
      <c r="J11" s="1" t="s">
        <v>3</v>
      </c>
      <c r="K11" s="1" t="s">
        <v>29</v>
      </c>
      <c r="L11" s="1" t="s">
        <v>29</v>
      </c>
      <c r="M11" s="1" t="s">
        <v>3</v>
      </c>
      <c r="N11" s="1" t="s">
        <v>4</v>
      </c>
      <c r="O11" s="1" t="s">
        <v>3</v>
      </c>
      <c r="P11" s="1" t="s">
        <v>29</v>
      </c>
      <c r="Q11" s="1" t="s">
        <v>4</v>
      </c>
      <c r="R11" s="1" t="s">
        <v>29</v>
      </c>
      <c r="S11" s="1" t="s">
        <v>29</v>
      </c>
      <c r="T11" s="1" t="s">
        <v>29</v>
      </c>
      <c r="U11" s="1" t="s">
        <v>4</v>
      </c>
      <c r="V11" s="1" t="s">
        <v>29</v>
      </c>
      <c r="W11" s="1" t="s">
        <v>3</v>
      </c>
      <c r="X11" s="1" t="s">
        <v>3</v>
      </c>
      <c r="Y11" s="1" t="s">
        <v>29</v>
      </c>
      <c r="Z11" s="1" t="s">
        <v>4</v>
      </c>
      <c r="AA11" s="1" t="s">
        <v>4</v>
      </c>
      <c r="AB11" s="1" t="s">
        <v>3</v>
      </c>
      <c r="AC11" s="1" t="s">
        <v>4</v>
      </c>
      <c r="AD11" s="1" t="s">
        <v>29</v>
      </c>
      <c r="AE11" s="1" t="s">
        <v>4</v>
      </c>
      <c r="AF11" s="1" t="s">
        <v>29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11</v>
      </c>
      <c r="BB11" s="11">
        <f t="shared" si="1"/>
        <v>12</v>
      </c>
      <c r="BC11" s="11">
        <f t="shared" si="2"/>
        <v>7</v>
      </c>
      <c r="BD11" s="17">
        <f t="shared" si="4"/>
        <v>30</v>
      </c>
      <c r="BE11" s="18">
        <f t="shared" si="5"/>
        <v>36.666666666666664</v>
      </c>
      <c r="BF11" s="18">
        <f t="shared" si="6"/>
        <v>40</v>
      </c>
      <c r="BG11" s="18">
        <f t="shared" si="7"/>
        <v>23.333333333333332</v>
      </c>
      <c r="BH11" s="13"/>
      <c r="BI11" s="13"/>
      <c r="BJ11" s="13"/>
    </row>
    <row r="12" spans="1:111" s="12" customFormat="1" ht="20.399999999999999" customHeight="1" x14ac:dyDescent="0.35">
      <c r="A12" s="40" t="s">
        <v>75</v>
      </c>
      <c r="B12" s="44" t="s">
        <v>3</v>
      </c>
      <c r="C12" s="1" t="s">
        <v>29</v>
      </c>
      <c r="D12" s="1" t="s">
        <v>3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29</v>
      </c>
      <c r="J12" s="1" t="s">
        <v>4</v>
      </c>
      <c r="K12" s="1" t="s">
        <v>3</v>
      </c>
      <c r="L12" s="1" t="s">
        <v>3</v>
      </c>
      <c r="M12" s="1" t="s">
        <v>29</v>
      </c>
      <c r="N12" s="43" t="s">
        <v>29</v>
      </c>
      <c r="O12" s="1" t="s">
        <v>29</v>
      </c>
      <c r="P12" s="1" t="s">
        <v>3</v>
      </c>
      <c r="Q12" s="1" t="s">
        <v>29</v>
      </c>
      <c r="R12" s="1" t="s">
        <v>3</v>
      </c>
      <c r="S12" s="1" t="s">
        <v>3</v>
      </c>
      <c r="T12" s="1" t="s">
        <v>4</v>
      </c>
      <c r="U12" s="1" t="s">
        <v>3</v>
      </c>
      <c r="V12" s="1" t="s">
        <v>3</v>
      </c>
      <c r="W12" s="1" t="s">
        <v>4</v>
      </c>
      <c r="X12" s="1" t="s">
        <v>4</v>
      </c>
      <c r="Y12" s="1" t="s">
        <v>4</v>
      </c>
      <c r="Z12" s="1" t="s">
        <v>3</v>
      </c>
      <c r="AA12" s="1" t="s">
        <v>29</v>
      </c>
      <c r="AB12" s="1" t="s">
        <v>4</v>
      </c>
      <c r="AC12" s="1" t="s">
        <v>29</v>
      </c>
      <c r="AD12" s="1" t="s">
        <v>3</v>
      </c>
      <c r="AE12" s="1" t="s">
        <v>4</v>
      </c>
      <c r="AF12" s="1" t="s">
        <v>3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11</v>
      </c>
      <c r="BB12" s="11">
        <f t="shared" si="1"/>
        <v>8</v>
      </c>
      <c r="BC12" s="11">
        <f t="shared" si="2"/>
        <v>11</v>
      </c>
      <c r="BD12" s="17">
        <f t="shared" si="4"/>
        <v>30</v>
      </c>
      <c r="BE12" s="18">
        <f t="shared" si="5"/>
        <v>36.666666666666664</v>
      </c>
      <c r="BF12" s="18">
        <f t="shared" si="6"/>
        <v>26.666666666666668</v>
      </c>
      <c r="BG12" s="18">
        <f t="shared" si="7"/>
        <v>36.666666666666664</v>
      </c>
      <c r="BH12" s="13"/>
      <c r="BI12" s="13"/>
      <c r="BJ12" s="13"/>
    </row>
    <row r="13" spans="1:111" s="12" customFormat="1" ht="20.399999999999999" customHeight="1" x14ac:dyDescent="0.35">
      <c r="A13" s="40" t="s">
        <v>76</v>
      </c>
      <c r="B13" s="44" t="s">
        <v>4</v>
      </c>
      <c r="C13" s="1" t="s">
        <v>29</v>
      </c>
      <c r="D13" s="1" t="s">
        <v>4</v>
      </c>
      <c r="E13" s="1" t="s">
        <v>4</v>
      </c>
      <c r="F13" s="1" t="s">
        <v>3</v>
      </c>
      <c r="G13" s="1" t="s">
        <v>4</v>
      </c>
      <c r="H13" s="1" t="s">
        <v>3</v>
      </c>
      <c r="I13" s="1" t="s">
        <v>4</v>
      </c>
      <c r="J13" s="1" t="s">
        <v>3</v>
      </c>
      <c r="K13" s="1" t="s">
        <v>29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29</v>
      </c>
      <c r="X13" s="1" t="s">
        <v>29</v>
      </c>
      <c r="Y13" s="1" t="s">
        <v>4</v>
      </c>
      <c r="Z13" s="1" t="s">
        <v>4</v>
      </c>
      <c r="AA13" s="1" t="s">
        <v>4</v>
      </c>
      <c r="AB13" s="1" t="s">
        <v>29</v>
      </c>
      <c r="AC13" s="1" t="s">
        <v>4</v>
      </c>
      <c r="AD13" s="1" t="s">
        <v>4</v>
      </c>
      <c r="AE13" s="1" t="s">
        <v>4</v>
      </c>
      <c r="AF13" s="1" t="s">
        <v>4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22</v>
      </c>
      <c r="BB13" s="11">
        <f t="shared" si="1"/>
        <v>5</v>
      </c>
      <c r="BC13" s="11">
        <f t="shared" si="2"/>
        <v>3</v>
      </c>
      <c r="BD13" s="17">
        <f t="shared" si="4"/>
        <v>30</v>
      </c>
      <c r="BE13" s="18">
        <f t="shared" si="5"/>
        <v>73.333333333333329</v>
      </c>
      <c r="BF13" s="18">
        <f t="shared" si="6"/>
        <v>16.666666666666664</v>
      </c>
      <c r="BG13" s="18">
        <f t="shared" si="7"/>
        <v>10</v>
      </c>
      <c r="BH13" s="13"/>
      <c r="BI13" s="13"/>
      <c r="BJ13" s="13"/>
    </row>
    <row r="14" spans="1:111" s="12" customFormat="1" ht="19.8" customHeight="1" x14ac:dyDescent="0.35">
      <c r="A14" s="40" t="s">
        <v>77</v>
      </c>
      <c r="B14" s="44" t="s">
        <v>41</v>
      </c>
      <c r="C14" s="1" t="s">
        <v>3</v>
      </c>
      <c r="D14" s="1" t="s">
        <v>29</v>
      </c>
      <c r="E14" s="1" t="s">
        <v>4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4</v>
      </c>
      <c r="K14" s="1" t="s">
        <v>3</v>
      </c>
      <c r="L14" s="1" t="s">
        <v>4</v>
      </c>
      <c r="M14" s="1" t="s">
        <v>4</v>
      </c>
      <c r="N14" s="1" t="s">
        <v>29</v>
      </c>
      <c r="O14" s="1" t="s">
        <v>4</v>
      </c>
      <c r="P14" s="1" t="s">
        <v>4</v>
      </c>
      <c r="Q14" s="1" t="s">
        <v>4</v>
      </c>
      <c r="R14" s="1" t="s">
        <v>3</v>
      </c>
      <c r="S14" s="1" t="s">
        <v>3</v>
      </c>
      <c r="T14" s="1" t="s">
        <v>4</v>
      </c>
      <c r="U14" s="1" t="s">
        <v>29</v>
      </c>
      <c r="V14" s="1" t="s">
        <v>4</v>
      </c>
      <c r="W14" s="1" t="s">
        <v>4</v>
      </c>
      <c r="X14" s="1" t="s">
        <v>4</v>
      </c>
      <c r="Y14" s="1" t="s">
        <v>3</v>
      </c>
      <c r="Z14" s="1" t="s">
        <v>29</v>
      </c>
      <c r="AA14" s="1" t="s">
        <v>29</v>
      </c>
      <c r="AB14" s="1" t="s">
        <v>4</v>
      </c>
      <c r="AC14" s="1" t="s">
        <v>3</v>
      </c>
      <c r="AD14" s="1" t="s">
        <v>4</v>
      </c>
      <c r="AE14" s="1" t="s">
        <v>3</v>
      </c>
      <c r="AF14" s="1" t="s">
        <v>4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14</v>
      </c>
      <c r="BB14" s="11">
        <f t="shared" si="1"/>
        <v>9</v>
      </c>
      <c r="BC14" s="11">
        <f t="shared" si="2"/>
        <v>7</v>
      </c>
      <c r="BD14" s="17">
        <f t="shared" si="4"/>
        <v>30</v>
      </c>
      <c r="BE14" s="18">
        <f t="shared" si="5"/>
        <v>46.666666666666664</v>
      </c>
      <c r="BF14" s="18">
        <f t="shared" si="6"/>
        <v>30</v>
      </c>
      <c r="BG14" s="18">
        <f t="shared" si="7"/>
        <v>23.333333333333332</v>
      </c>
      <c r="BH14" s="13"/>
      <c r="BI14" s="13"/>
      <c r="BJ14" s="13"/>
    </row>
    <row r="15" spans="1:111" s="2" customFormat="1" ht="18.600000000000001" customHeight="1" x14ac:dyDescent="0.45">
      <c r="C15" s="39" t="s">
        <v>38</v>
      </c>
      <c r="D15" s="39" t="s">
        <v>38</v>
      </c>
      <c r="E15" s="39" t="s">
        <v>38</v>
      </c>
      <c r="F15" s="39" t="s">
        <v>38</v>
      </c>
      <c r="G15" s="39" t="s">
        <v>38</v>
      </c>
      <c r="H15" s="39" t="s">
        <v>38</v>
      </c>
      <c r="I15" s="39" t="s">
        <v>38</v>
      </c>
      <c r="J15" s="39" t="s">
        <v>38</v>
      </c>
      <c r="K15" s="39" t="s">
        <v>38</v>
      </c>
      <c r="L15" s="39" t="s">
        <v>38</v>
      </c>
      <c r="M15" s="39" t="s">
        <v>38</v>
      </c>
      <c r="N15" s="39" t="s">
        <v>38</v>
      </c>
      <c r="O15" s="39" t="s">
        <v>38</v>
      </c>
      <c r="P15" s="39" t="s">
        <v>38</v>
      </c>
      <c r="Q15" s="39" t="s">
        <v>38</v>
      </c>
      <c r="R15" s="39" t="s">
        <v>38</v>
      </c>
      <c r="S15" s="39" t="s">
        <v>38</v>
      </c>
      <c r="T15" s="39" t="s">
        <v>38</v>
      </c>
      <c r="U15" s="39" t="s">
        <v>38</v>
      </c>
      <c r="V15" s="39" t="s">
        <v>38</v>
      </c>
      <c r="W15" s="39" t="s">
        <v>38</v>
      </c>
      <c r="X15" s="39" t="s">
        <v>38</v>
      </c>
      <c r="Y15" s="39" t="s">
        <v>38</v>
      </c>
      <c r="Z15" s="39" t="s">
        <v>38</v>
      </c>
      <c r="AA15" s="39" t="s">
        <v>38</v>
      </c>
      <c r="AB15" s="39" t="s">
        <v>38</v>
      </c>
      <c r="AC15" s="39" t="s">
        <v>38</v>
      </c>
      <c r="AD15" s="39" t="s">
        <v>38</v>
      </c>
      <c r="AE15" s="39" t="s">
        <v>38</v>
      </c>
      <c r="AF15" s="39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9</v>
      </c>
      <c r="C16" s="38" t="s">
        <v>37</v>
      </c>
      <c r="D16" s="38" t="s">
        <v>37</v>
      </c>
      <c r="E16" s="38" t="s">
        <v>37</v>
      </c>
      <c r="F16" s="38" t="s">
        <v>37</v>
      </c>
      <c r="G16" s="38" t="s">
        <v>37</v>
      </c>
      <c r="H16" s="38" t="s">
        <v>37</v>
      </c>
      <c r="I16" s="38" t="s">
        <v>37</v>
      </c>
      <c r="J16" s="38" t="s">
        <v>37</v>
      </c>
      <c r="K16" s="38" t="s">
        <v>37</v>
      </c>
      <c r="L16" s="38" t="s">
        <v>37</v>
      </c>
      <c r="M16" s="38" t="s">
        <v>37</v>
      </c>
      <c r="N16" s="38" t="s">
        <v>37</v>
      </c>
      <c r="O16" s="38" t="s">
        <v>37</v>
      </c>
      <c r="P16" s="38" t="s">
        <v>37</v>
      </c>
      <c r="Q16" s="38" t="s">
        <v>37</v>
      </c>
      <c r="R16" s="38" t="s">
        <v>37</v>
      </c>
      <c r="S16" s="38" t="s">
        <v>37</v>
      </c>
      <c r="T16" s="38" t="s">
        <v>37</v>
      </c>
      <c r="U16" s="38" t="s">
        <v>37</v>
      </c>
      <c r="V16" s="38" t="s">
        <v>37</v>
      </c>
      <c r="W16" s="38" t="s">
        <v>37</v>
      </c>
      <c r="X16" s="38" t="s">
        <v>37</v>
      </c>
      <c r="Y16" s="38" t="s">
        <v>37</v>
      </c>
      <c r="Z16" s="38" t="s">
        <v>37</v>
      </c>
      <c r="AA16" s="38" t="s">
        <v>37</v>
      </c>
      <c r="AB16" s="38" t="s">
        <v>37</v>
      </c>
      <c r="AC16" s="38" t="s">
        <v>37</v>
      </c>
      <c r="AD16" s="38" t="s">
        <v>37</v>
      </c>
      <c r="AE16" s="38" t="s">
        <v>37</v>
      </c>
      <c r="AF16" s="38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 t="s">
        <v>37</v>
      </c>
      <c r="J17" s="37" t="s">
        <v>37</v>
      </c>
      <c r="K17" s="37" t="s">
        <v>37</v>
      </c>
      <c r="L17" s="37" t="s">
        <v>37</v>
      </c>
      <c r="M17" s="37" t="s">
        <v>37</v>
      </c>
      <c r="N17" s="37" t="s">
        <v>37</v>
      </c>
      <c r="O17" s="37" t="s">
        <v>37</v>
      </c>
      <c r="P17" s="37" t="s">
        <v>37</v>
      </c>
      <c r="Q17" s="37" t="s">
        <v>37</v>
      </c>
      <c r="R17" s="37" t="s">
        <v>37</v>
      </c>
      <c r="S17" s="37" t="s">
        <v>37</v>
      </c>
      <c r="T17" s="37" t="s">
        <v>37</v>
      </c>
      <c r="U17" s="37" t="s">
        <v>37</v>
      </c>
      <c r="V17" s="37" t="s">
        <v>37</v>
      </c>
      <c r="W17" s="37" t="s">
        <v>37</v>
      </c>
      <c r="X17" s="37" t="s">
        <v>37</v>
      </c>
      <c r="Y17" s="37" t="s">
        <v>37</v>
      </c>
      <c r="Z17" s="37" t="s">
        <v>37</v>
      </c>
      <c r="AA17" s="37" t="s">
        <v>37</v>
      </c>
      <c r="AB17" s="37" t="s">
        <v>37</v>
      </c>
      <c r="AC17" s="37" t="s">
        <v>37</v>
      </c>
      <c r="AD17" s="37" t="s">
        <v>37</v>
      </c>
      <c r="AE17" s="37" t="s">
        <v>37</v>
      </c>
      <c r="AF17" s="37" t="s">
        <v>37</v>
      </c>
    </row>
    <row r="18" spans="1:51" s="2" customFormat="1" ht="23.4" x14ac:dyDescent="0.45">
      <c r="A18" s="20" t="s">
        <v>2</v>
      </c>
      <c r="C18" s="22">
        <f>COUNTIF(C53:C65,"=1")</f>
        <v>5</v>
      </c>
      <c r="D18" s="22">
        <f t="shared" ref="D18:Y18" si="8">COUNTIF(D53:D65,"=1")</f>
        <v>7</v>
      </c>
      <c r="E18" s="22">
        <f t="shared" si="8"/>
        <v>6</v>
      </c>
      <c r="F18" s="22">
        <f t="shared" si="8"/>
        <v>6</v>
      </c>
      <c r="G18" s="22">
        <f t="shared" si="8"/>
        <v>5</v>
      </c>
      <c r="H18" s="22">
        <f t="shared" si="8"/>
        <v>4</v>
      </c>
      <c r="I18" s="22">
        <f t="shared" si="8"/>
        <v>5</v>
      </c>
      <c r="J18" s="22">
        <f t="shared" si="8"/>
        <v>4</v>
      </c>
      <c r="K18" s="22">
        <f t="shared" si="8"/>
        <v>4</v>
      </c>
      <c r="L18" s="22">
        <f t="shared" si="8"/>
        <v>5</v>
      </c>
      <c r="M18" s="22">
        <f t="shared" si="8"/>
        <v>6</v>
      </c>
      <c r="N18" s="22">
        <f t="shared" si="8"/>
        <v>9</v>
      </c>
      <c r="O18" s="22">
        <f t="shared" ref="O18" si="9">COUNTIF(O53:O65,"=1")</f>
        <v>6</v>
      </c>
      <c r="P18" s="22">
        <f t="shared" si="8"/>
        <v>6</v>
      </c>
      <c r="Q18" s="22">
        <f t="shared" si="8"/>
        <v>7</v>
      </c>
      <c r="R18" s="22">
        <f t="shared" si="8"/>
        <v>4</v>
      </c>
      <c r="S18" s="22">
        <f t="shared" si="8"/>
        <v>6</v>
      </c>
      <c r="T18" s="22">
        <f t="shared" si="8"/>
        <v>4</v>
      </c>
      <c r="U18" s="22">
        <f t="shared" si="8"/>
        <v>7</v>
      </c>
      <c r="V18" s="22">
        <f t="shared" si="8"/>
        <v>5</v>
      </c>
      <c r="W18" s="22">
        <f t="shared" si="8"/>
        <v>3</v>
      </c>
      <c r="X18" s="22">
        <f t="shared" si="8"/>
        <v>2</v>
      </c>
      <c r="Y18" s="22">
        <f t="shared" si="8"/>
        <v>2</v>
      </c>
      <c r="Z18" s="22">
        <f t="shared" ref="Z18:AF18" si="10">COUNTIF(Z53:Z65,"=1")</f>
        <v>6</v>
      </c>
      <c r="AA18" s="22">
        <f t="shared" si="10"/>
        <v>6</v>
      </c>
      <c r="AB18" s="22">
        <f t="shared" ref="AB18" si="11">COUNTIF(AB53:AB65,"=1")</f>
        <v>2</v>
      </c>
      <c r="AC18" s="22">
        <f t="shared" si="10"/>
        <v>3</v>
      </c>
      <c r="AD18" s="22">
        <f t="shared" si="10"/>
        <v>4</v>
      </c>
      <c r="AE18" s="22">
        <f t="shared" si="10"/>
        <v>5</v>
      </c>
      <c r="AF18" s="22">
        <f t="shared" si="10"/>
        <v>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0">IF(OR($B2=MID(D2,1,1),$B2=MID(D2,2,1),$B2=MID(D2,3,1)),1,0)</f>
        <v>1</v>
      </c>
      <c r="E53">
        <f t="shared" si="50"/>
        <v>1</v>
      </c>
      <c r="F53">
        <f t="shared" si="50"/>
        <v>1</v>
      </c>
      <c r="G53">
        <f t="shared" si="50"/>
        <v>1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1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0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1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1</v>
      </c>
      <c r="D56">
        <f t="shared" si="52"/>
        <v>0</v>
      </c>
      <c r="E56">
        <f t="shared" si="52"/>
        <v>0</v>
      </c>
      <c r="F56">
        <f t="shared" si="52"/>
        <v>1</v>
      </c>
      <c r="G56">
        <f t="shared" si="52"/>
        <v>1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1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1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1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1</v>
      </c>
      <c r="AE56">
        <f t="shared" si="52"/>
        <v>1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1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0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1</v>
      </c>
      <c r="N58">
        <f t="shared" si="52"/>
        <v>1</v>
      </c>
      <c r="O58">
        <f t="shared" si="52"/>
        <v>1</v>
      </c>
      <c r="P58">
        <f t="shared" si="52"/>
        <v>1</v>
      </c>
      <c r="Q58">
        <f t="shared" si="52"/>
        <v>1</v>
      </c>
      <c r="R58">
        <f t="shared" si="52"/>
        <v>0</v>
      </c>
      <c r="S58">
        <f t="shared" si="52"/>
        <v>1</v>
      </c>
      <c r="T58">
        <f t="shared" si="52"/>
        <v>1</v>
      </c>
      <c r="U58">
        <f t="shared" si="52"/>
        <v>0</v>
      </c>
      <c r="V58">
        <f t="shared" si="52"/>
        <v>0</v>
      </c>
      <c r="W58">
        <f t="shared" si="52"/>
        <v>1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0</v>
      </c>
      <c r="G59">
        <f t="shared" si="53"/>
        <v>0</v>
      </c>
      <c r="H59">
        <f t="shared" si="53"/>
        <v>0</v>
      </c>
      <c r="I59">
        <f t="shared" si="53"/>
        <v>0</v>
      </c>
      <c r="J59">
        <f t="shared" si="53"/>
        <v>1</v>
      </c>
      <c r="K59">
        <f t="shared" si="53"/>
        <v>0</v>
      </c>
      <c r="L59">
        <f t="shared" si="53"/>
        <v>0</v>
      </c>
      <c r="M59">
        <f t="shared" si="53"/>
        <v>1</v>
      </c>
      <c r="N59">
        <f t="shared" si="53"/>
        <v>0</v>
      </c>
      <c r="O59">
        <f t="shared" si="53"/>
        <v>0</v>
      </c>
      <c r="P59">
        <f t="shared" si="53"/>
        <v>0</v>
      </c>
      <c r="Q59">
        <f t="shared" si="53"/>
        <v>0</v>
      </c>
      <c r="R59">
        <f t="shared" si="53"/>
        <v>0</v>
      </c>
      <c r="S59">
        <f t="shared" si="53"/>
        <v>1</v>
      </c>
      <c r="T59">
        <f t="shared" si="53"/>
        <v>0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1</v>
      </c>
      <c r="E60">
        <f t="shared" si="53"/>
        <v>1</v>
      </c>
      <c r="F60">
        <f t="shared" si="53"/>
        <v>0</v>
      </c>
      <c r="G60">
        <f t="shared" si="53"/>
        <v>0</v>
      </c>
      <c r="H60">
        <f t="shared" si="53"/>
        <v>0</v>
      </c>
      <c r="I60">
        <f t="shared" si="53"/>
        <v>0</v>
      </c>
      <c r="J60">
        <f t="shared" si="53"/>
        <v>1</v>
      </c>
      <c r="K60">
        <f t="shared" si="53"/>
        <v>1</v>
      </c>
      <c r="L60">
        <f t="shared" si="53"/>
        <v>0</v>
      </c>
      <c r="M60">
        <f t="shared" si="53"/>
        <v>0</v>
      </c>
      <c r="N60">
        <f t="shared" si="53"/>
        <v>1</v>
      </c>
      <c r="O60">
        <f t="shared" si="53"/>
        <v>1</v>
      </c>
      <c r="P60">
        <f t="shared" si="53"/>
        <v>0</v>
      </c>
      <c r="Q60">
        <f t="shared" si="53"/>
        <v>0</v>
      </c>
      <c r="R60">
        <f t="shared" si="53"/>
        <v>1</v>
      </c>
      <c r="S60">
        <f t="shared" si="53"/>
        <v>1</v>
      </c>
      <c r="T60">
        <f t="shared" si="53"/>
        <v>1</v>
      </c>
      <c r="U60">
        <f t="shared" si="53"/>
        <v>1</v>
      </c>
      <c r="V60">
        <f t="shared" si="53"/>
        <v>0</v>
      </c>
      <c r="W60">
        <f t="shared" si="53"/>
        <v>1</v>
      </c>
      <c r="X60">
        <f t="shared" si="53"/>
        <v>1</v>
      </c>
      <c r="Y60">
        <f t="shared" si="53"/>
        <v>0</v>
      </c>
      <c r="Z60">
        <f t="shared" si="53"/>
        <v>1</v>
      </c>
      <c r="AA60">
        <f t="shared" si="53"/>
        <v>1</v>
      </c>
      <c r="AB60">
        <f t="shared" si="53"/>
        <v>1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1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1</v>
      </c>
      <c r="G61">
        <f t="shared" si="53"/>
        <v>0</v>
      </c>
      <c r="H61">
        <f t="shared" si="53"/>
        <v>0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1</v>
      </c>
      <c r="O61">
        <f t="shared" si="53"/>
        <v>0</v>
      </c>
      <c r="P61">
        <f t="shared" si="53"/>
        <v>0</v>
      </c>
      <c r="Q61">
        <f t="shared" si="53"/>
        <v>1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1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1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1</v>
      </c>
      <c r="D62">
        <f t="shared" si="53"/>
        <v>1</v>
      </c>
      <c r="E62">
        <f t="shared" si="53"/>
        <v>1</v>
      </c>
      <c r="F62">
        <f t="shared" si="53"/>
        <v>1</v>
      </c>
      <c r="G62">
        <f t="shared" si="53"/>
        <v>0</v>
      </c>
      <c r="H62">
        <f t="shared" si="53"/>
        <v>0</v>
      </c>
      <c r="I62">
        <f t="shared" si="53"/>
        <v>0</v>
      </c>
      <c r="J62">
        <f t="shared" si="53"/>
        <v>0</v>
      </c>
      <c r="K62">
        <f t="shared" si="53"/>
        <v>0</v>
      </c>
      <c r="L62">
        <f t="shared" si="53"/>
        <v>0</v>
      </c>
      <c r="M62">
        <f t="shared" si="53"/>
        <v>0</v>
      </c>
      <c r="N62">
        <f t="shared" si="53"/>
        <v>1</v>
      </c>
      <c r="O62">
        <f t="shared" si="53"/>
        <v>0</v>
      </c>
      <c r="P62">
        <f t="shared" si="53"/>
        <v>0</v>
      </c>
      <c r="Q62">
        <f t="shared" si="53"/>
        <v>1</v>
      </c>
      <c r="R62">
        <f t="shared" si="53"/>
        <v>0</v>
      </c>
      <c r="S62">
        <f t="shared" si="53"/>
        <v>0</v>
      </c>
      <c r="T62">
        <f t="shared" si="53"/>
        <v>0</v>
      </c>
      <c r="U62">
        <f t="shared" si="53"/>
        <v>1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1</v>
      </c>
      <c r="AA62">
        <f t="shared" si="53"/>
        <v>1</v>
      </c>
      <c r="AB62">
        <f t="shared" si="53"/>
        <v>0</v>
      </c>
      <c r="AC62">
        <f t="shared" si="53"/>
        <v>1</v>
      </c>
      <c r="AD62">
        <f t="shared" si="53"/>
        <v>0</v>
      </c>
      <c r="AE62">
        <f t="shared" si="53"/>
        <v>1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1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0</v>
      </c>
      <c r="I63">
        <f t="shared" si="54"/>
        <v>0</v>
      </c>
      <c r="J63">
        <f t="shared" si="54"/>
        <v>0</v>
      </c>
      <c r="K63">
        <f t="shared" si="54"/>
        <v>1</v>
      </c>
      <c r="L63">
        <f t="shared" si="54"/>
        <v>1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1</v>
      </c>
      <c r="Q63">
        <f t="shared" si="54"/>
        <v>0</v>
      </c>
      <c r="R63">
        <f t="shared" si="54"/>
        <v>1</v>
      </c>
      <c r="S63">
        <f t="shared" si="54"/>
        <v>1</v>
      </c>
      <c r="T63">
        <f t="shared" si="54"/>
        <v>0</v>
      </c>
      <c r="U63">
        <f t="shared" si="54"/>
        <v>1</v>
      </c>
      <c r="V63">
        <f t="shared" si="54"/>
        <v>1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1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1</v>
      </c>
      <c r="AE63">
        <f t="shared" si="54"/>
        <v>0</v>
      </c>
      <c r="AF63">
        <f t="shared" si="54"/>
        <v>1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1</v>
      </c>
      <c r="E64">
        <f t="shared" si="54"/>
        <v>1</v>
      </c>
      <c r="F64">
        <f t="shared" si="54"/>
        <v>0</v>
      </c>
      <c r="G64">
        <f t="shared" si="54"/>
        <v>1</v>
      </c>
      <c r="H64">
        <f t="shared" si="54"/>
        <v>0</v>
      </c>
      <c r="I64">
        <f t="shared" si="54"/>
        <v>1</v>
      </c>
      <c r="J64">
        <f t="shared" si="54"/>
        <v>0</v>
      </c>
      <c r="K64">
        <f t="shared" si="54"/>
        <v>0</v>
      </c>
      <c r="L64">
        <f t="shared" si="54"/>
        <v>1</v>
      </c>
      <c r="M64">
        <f t="shared" si="54"/>
        <v>1</v>
      </c>
      <c r="N64">
        <f t="shared" si="54"/>
        <v>1</v>
      </c>
      <c r="O64">
        <f t="shared" si="54"/>
        <v>1</v>
      </c>
      <c r="P64">
        <f t="shared" si="54"/>
        <v>1</v>
      </c>
      <c r="Q64">
        <f t="shared" si="54"/>
        <v>1</v>
      </c>
      <c r="R64">
        <f t="shared" si="54"/>
        <v>1</v>
      </c>
      <c r="S64">
        <f t="shared" si="54"/>
        <v>1</v>
      </c>
      <c r="T64">
        <f t="shared" si="54"/>
        <v>1</v>
      </c>
      <c r="U64">
        <f t="shared" si="54"/>
        <v>1</v>
      </c>
      <c r="V64">
        <f t="shared" si="54"/>
        <v>1</v>
      </c>
      <c r="W64">
        <f t="shared" si="54"/>
        <v>0</v>
      </c>
      <c r="X64">
        <f t="shared" si="54"/>
        <v>0</v>
      </c>
      <c r="Y64">
        <f t="shared" si="54"/>
        <v>1</v>
      </c>
      <c r="Z64">
        <f t="shared" si="54"/>
        <v>1</v>
      </c>
      <c r="AA64">
        <f t="shared" si="54"/>
        <v>1</v>
      </c>
      <c r="AB64">
        <f t="shared" si="54"/>
        <v>0</v>
      </c>
      <c r="AC64">
        <f t="shared" si="54"/>
        <v>1</v>
      </c>
      <c r="AD64">
        <f t="shared" si="54"/>
        <v>1</v>
      </c>
      <c r="AE64">
        <f t="shared" si="54"/>
        <v>1</v>
      </c>
      <c r="AF64">
        <f t="shared" si="54"/>
        <v>1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1</v>
      </c>
      <c r="E65">
        <f t="shared" si="54"/>
        <v>0</v>
      </c>
      <c r="F65">
        <f t="shared" si="54"/>
        <v>1</v>
      </c>
      <c r="G65">
        <f t="shared" si="54"/>
        <v>1</v>
      </c>
      <c r="H65">
        <f t="shared" si="54"/>
        <v>1</v>
      </c>
      <c r="I65">
        <f t="shared" si="54"/>
        <v>1</v>
      </c>
      <c r="J65">
        <f t="shared" si="54"/>
        <v>0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1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1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1</v>
      </c>
      <c r="AA65">
        <f t="shared" si="54"/>
        <v>1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11" operator="equal">
      <formula>"erro"</formula>
    </cfRule>
  </conditionalFormatting>
  <conditionalFormatting sqref="A18">
    <cfRule type="cellIs" dxfId="4" priority="10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12" stopIfTrue="1" operator="greaterThan">
      <formula>9</formula>
    </cfRule>
  </conditionalFormatting>
  <conditionalFormatting sqref="C18:AF18">
    <cfRule type="cellIs" dxfId="1" priority="6" operator="equal">
      <formula>9</formula>
    </cfRule>
  </conditionalFormatting>
  <conditionalFormatting sqref="AG2:AT14">
    <cfRule type="cellIs" dxfId="0" priority="12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2"/>
  <sheetViews>
    <sheetView tabSelected="1" workbookViewId="0">
      <selection activeCell="X21" sqref="X21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5" t="s">
        <v>31</v>
      </c>
      <c r="U1" s="45"/>
      <c r="V1" s="45"/>
      <c r="W1" s="45"/>
      <c r="X1" s="35" t="s">
        <v>33</v>
      </c>
      <c r="Y1" s="36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5" t="s">
        <v>34</v>
      </c>
      <c r="Y2" s="41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0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2">
        <v>8</v>
      </c>
      <c r="Y3" s="41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D4:M20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15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2">
        <v>7</v>
      </c>
      <c r="Y4" s="41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2">
        <v>9</v>
      </c>
      <c r="Y5" s="42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2">
        <v>9</v>
      </c>
      <c r="Y6" s="42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2" t="s">
        <v>43</v>
      </c>
      <c r="Y7" s="41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2" t="s">
        <v>45</v>
      </c>
      <c r="Y8" s="41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2">
        <v>8</v>
      </c>
      <c r="Y9" s="41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2" t="s">
        <v>48</v>
      </c>
      <c r="Y10" s="41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2">
        <v>6</v>
      </c>
      <c r="Y11" s="41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2">
        <v>8</v>
      </c>
      <c r="Y12" s="41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2">
        <v>8</v>
      </c>
      <c r="Y13" s="41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2" t="s">
        <v>55</v>
      </c>
      <c r="Y14" s="41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8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2" t="s">
        <v>48</v>
      </c>
      <c r="Y15" s="41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2" t="s">
        <v>43</v>
      </c>
      <c r="Y16" s="41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-0.375</v>
      </c>
      <c r="E17" s="24">
        <f t="shared" si="3"/>
        <v>-0.375</v>
      </c>
      <c r="F17" s="24">
        <f t="shared" si="3"/>
        <v>-0.375</v>
      </c>
      <c r="G17" s="24">
        <f t="shared" si="3"/>
        <v>-0.375</v>
      </c>
      <c r="H17" s="24">
        <f t="shared" si="3"/>
        <v>-0.3</v>
      </c>
      <c r="I17" s="24">
        <f t="shared" si="3"/>
        <v>-0.15</v>
      </c>
      <c r="J17" s="24">
        <f t="shared" si="3"/>
        <v>-0.15</v>
      </c>
      <c r="K17" s="24">
        <f t="shared" si="3"/>
        <v>-0.15</v>
      </c>
      <c r="L17" s="24">
        <f t="shared" si="3"/>
        <v>-0.15</v>
      </c>
      <c r="M17" s="24">
        <f t="shared" si="3"/>
        <v>-0.15</v>
      </c>
      <c r="N17" s="30">
        <f t="shared" si="1"/>
        <v>-0.15</v>
      </c>
      <c r="O17" s="30">
        <f t="shared" si="1"/>
        <v>-0.15</v>
      </c>
      <c r="P17" s="25">
        <f t="shared" si="6"/>
        <v>-2.8499999999999996</v>
      </c>
      <c r="Q17" s="24">
        <v>15</v>
      </c>
      <c r="R17" s="30">
        <v>0</v>
      </c>
      <c r="S17" s="30">
        <f t="shared" si="5"/>
        <v>-15</v>
      </c>
      <c r="T17" s="24">
        <v>1</v>
      </c>
      <c r="U17" s="24">
        <v>1</v>
      </c>
      <c r="V17" s="24">
        <v>27</v>
      </c>
      <c r="W17" s="24">
        <v>321</v>
      </c>
      <c r="X17" s="32">
        <v>10</v>
      </c>
      <c r="Y17" s="41" t="s">
        <v>63</v>
      </c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-0.375</v>
      </c>
      <c r="E18" s="24">
        <f t="shared" si="3"/>
        <v>-0.375</v>
      </c>
      <c r="F18" s="24">
        <f t="shared" si="3"/>
        <v>-0.375</v>
      </c>
      <c r="G18" s="24">
        <f t="shared" si="3"/>
        <v>-0.375</v>
      </c>
      <c r="H18" s="24">
        <f t="shared" si="3"/>
        <v>-0.3</v>
      </c>
      <c r="I18" s="24">
        <f t="shared" si="3"/>
        <v>-0.15</v>
      </c>
      <c r="J18" s="24">
        <f t="shared" si="3"/>
        <v>-0.15</v>
      </c>
      <c r="K18" s="24">
        <f t="shared" si="3"/>
        <v>-0.15</v>
      </c>
      <c r="L18" s="24">
        <f t="shared" si="3"/>
        <v>-0.15</v>
      </c>
      <c r="M18" s="24">
        <f t="shared" si="3"/>
        <v>-0.15</v>
      </c>
      <c r="N18" s="30">
        <f t="shared" si="1"/>
        <v>-0.15</v>
      </c>
      <c r="O18" s="30">
        <f t="shared" si="1"/>
        <v>-0.15</v>
      </c>
      <c r="P18" s="25">
        <f t="shared" si="6"/>
        <v>-2.8499999999999996</v>
      </c>
      <c r="Q18" s="24">
        <v>15</v>
      </c>
      <c r="R18" s="30">
        <v>0</v>
      </c>
      <c r="S18" s="30">
        <f t="shared" si="5"/>
        <v>-15</v>
      </c>
      <c r="T18" s="24">
        <v>0</v>
      </c>
      <c r="U18" s="24">
        <v>0</v>
      </c>
      <c r="V18" s="24">
        <v>0</v>
      </c>
      <c r="W18" s="24">
        <v>10</v>
      </c>
      <c r="X18" s="32" t="s">
        <v>43</v>
      </c>
      <c r="Y18" s="41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-0.375</v>
      </c>
      <c r="E19" s="24">
        <f t="shared" si="3"/>
        <v>-0.375</v>
      </c>
      <c r="F19" s="24">
        <f t="shared" si="3"/>
        <v>-0.375</v>
      </c>
      <c r="G19" s="24">
        <f t="shared" si="3"/>
        <v>-0.375</v>
      </c>
      <c r="H19" s="24">
        <f t="shared" si="3"/>
        <v>-0.3</v>
      </c>
      <c r="I19" s="24">
        <f t="shared" si="3"/>
        <v>-0.15</v>
      </c>
      <c r="J19" s="24">
        <f t="shared" si="3"/>
        <v>-0.15</v>
      </c>
      <c r="K19" s="24">
        <f t="shared" si="3"/>
        <v>-0.15</v>
      </c>
      <c r="L19" s="24">
        <f t="shared" si="3"/>
        <v>-0.15</v>
      </c>
      <c r="M19" s="24">
        <f t="shared" si="3"/>
        <v>-0.15</v>
      </c>
      <c r="N19" s="30">
        <f t="shared" si="1"/>
        <v>-0.15</v>
      </c>
      <c r="O19" s="30">
        <f t="shared" si="1"/>
        <v>-0.15</v>
      </c>
      <c r="P19" s="25">
        <f t="shared" si="6"/>
        <v>-2.8499999999999996</v>
      </c>
      <c r="Q19" s="24">
        <v>15</v>
      </c>
      <c r="R19" s="30">
        <v>0</v>
      </c>
      <c r="S19" s="30">
        <f t="shared" ref="S19:S20" si="7">R19-Q19</f>
        <v>-15</v>
      </c>
      <c r="T19" s="24">
        <v>1</v>
      </c>
      <c r="U19" s="24">
        <v>1</v>
      </c>
      <c r="V19" s="24">
        <v>95</v>
      </c>
      <c r="W19" s="24">
        <v>1034</v>
      </c>
      <c r="X19" s="32">
        <v>9</v>
      </c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-0.375</v>
      </c>
      <c r="E20" s="24">
        <f t="shared" si="3"/>
        <v>-0.375</v>
      </c>
      <c r="F20" s="24">
        <f t="shared" si="3"/>
        <v>-0.375</v>
      </c>
      <c r="G20" s="24">
        <f t="shared" si="3"/>
        <v>-0.375</v>
      </c>
      <c r="H20" s="24">
        <f t="shared" si="3"/>
        <v>-0.3</v>
      </c>
      <c r="I20" s="24">
        <f t="shared" si="3"/>
        <v>-0.15</v>
      </c>
      <c r="J20" s="24">
        <f t="shared" si="3"/>
        <v>-0.15</v>
      </c>
      <c r="K20" s="24">
        <f t="shared" si="3"/>
        <v>-0.15</v>
      </c>
      <c r="L20" s="24">
        <f t="shared" si="3"/>
        <v>-0.15</v>
      </c>
      <c r="M20" s="24">
        <f t="shared" si="3"/>
        <v>-0.15</v>
      </c>
      <c r="N20" s="30">
        <f t="shared" si="1"/>
        <v>-0.15</v>
      </c>
      <c r="O20" s="30">
        <f t="shared" si="1"/>
        <v>-0.15</v>
      </c>
      <c r="P20" s="25">
        <f t="shared" si="6"/>
        <v>-2.8499999999999996</v>
      </c>
      <c r="Q20" s="24">
        <v>15</v>
      </c>
      <c r="R20" s="30">
        <v>0</v>
      </c>
      <c r="S20" s="30">
        <f t="shared" si="7"/>
        <v>-15</v>
      </c>
      <c r="T20" s="24">
        <v>0</v>
      </c>
      <c r="U20" s="24">
        <v>0</v>
      </c>
      <c r="V20" s="24">
        <v>0</v>
      </c>
      <c r="W20" s="24">
        <v>6</v>
      </c>
      <c r="X20" s="32">
        <v>9</v>
      </c>
      <c r="Y20" s="41" t="s">
        <v>64</v>
      </c>
    </row>
    <row r="21" spans="1:25" ht="18" x14ac:dyDescent="0.35">
      <c r="A21" s="28" t="s">
        <v>23</v>
      </c>
      <c r="B21" s="25">
        <f>SUM(B3:B15)</f>
        <v>0</v>
      </c>
      <c r="C21" s="25">
        <f t="shared" ref="C21:O21" si="8">SUM(C3:C15)</f>
        <v>0</v>
      </c>
      <c r="D21" s="25">
        <f t="shared" si="8"/>
        <v>-4</v>
      </c>
      <c r="E21" s="25">
        <f t="shared" si="8"/>
        <v>-4</v>
      </c>
      <c r="F21" s="25">
        <f t="shared" si="8"/>
        <v>-4</v>
      </c>
      <c r="G21" s="25">
        <f t="shared" si="8"/>
        <v>-4</v>
      </c>
      <c r="H21" s="25">
        <f t="shared" si="8"/>
        <v>-3.1999999999999997</v>
      </c>
      <c r="I21" s="25">
        <f t="shared" si="8"/>
        <v>-1.5999999999999999</v>
      </c>
      <c r="J21" s="25">
        <f t="shared" si="8"/>
        <v>-1.5999999999999999</v>
      </c>
      <c r="K21" s="25">
        <f t="shared" si="8"/>
        <v>-1.5999999999999999</v>
      </c>
      <c r="L21" s="25">
        <f t="shared" si="8"/>
        <v>-1.5999999999999999</v>
      </c>
      <c r="M21" s="25">
        <f t="shared" si="8"/>
        <v>-1.5999999999999999</v>
      </c>
      <c r="N21" s="25">
        <f t="shared" si="8"/>
        <v>-1.5999999999999999</v>
      </c>
      <c r="O21" s="25">
        <f t="shared" si="8"/>
        <v>-1.5999999999999999</v>
      </c>
      <c r="P21" s="25">
        <f>SUM(B21:O21)</f>
        <v>-30.400000000000009</v>
      </c>
      <c r="Q21" s="24">
        <f>SUM(Q3:Q20)</f>
        <v>235</v>
      </c>
      <c r="R21" s="24">
        <f>SUM(R3:R20)</f>
        <v>0</v>
      </c>
      <c r="S21" s="24">
        <f t="shared" ref="S21" si="9">R21-Q21</f>
        <v>-235</v>
      </c>
      <c r="T21" s="24"/>
      <c r="U21" s="24"/>
      <c r="V21" s="24"/>
      <c r="W21" s="24"/>
      <c r="X21" s="32"/>
      <c r="Y21" s="41"/>
    </row>
    <row r="22" spans="1:25" ht="18" x14ac:dyDescent="0.35">
      <c r="A22" s="23"/>
      <c r="P22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2026-05-04T09:57:16Z</dcterms:modified>
</cp:coreProperties>
</file>