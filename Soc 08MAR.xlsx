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143F4A15-2B49-424F-9DCC-445C975AF328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2" i="4" l="1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<sst xmlns="http://schemas.openxmlformats.org/spreadsheetml/2006/main" count="553" uniqueCount="65">
  <si>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</si>
  <si>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</si>
  <si>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</si>
  <si>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</si>
  <si>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</si>
  <si>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</si>
  <si>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</si>
  <si>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</si>
  <si>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</si>
  <si>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</si>
  <si>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</si>
  <si>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</si>
  <si>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</si>
  <si>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</si>
  <si>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</si>
  <si>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</si>
  <si>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</si>
  <si>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</si>
  <si>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</si>
  <si>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</si>
  <si>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</si>
  <si>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</si>
  <si>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</si>
  <si>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</si>
  <si>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</si>
  <si>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</si>
  <si>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</si>
  <si>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</si>
  <si>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</si>
  <si>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</si>
  <si>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</si>
  <si>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</si>
  <si>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</si>
  <si>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</si>
  <si>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</si>
  <si>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</si>
  <si>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</si>
  <si>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</si>
  <si>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</si>
  <si>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</si>
  <si>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</si>
  <si>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</si>
  <si>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</si>
  <si>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</si>
  <si>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</si>
  <si>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</si>
  <si>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</si>
  <si>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</si>
  <si>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</si>
  <si>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</si>
  <si>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</si>
  <si>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</si>
  <si>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1 SL Benfica-FC Porto</t>
  </si>
  <si>
    <t>2 Sp. Braga-Sporting CP</t>
  </si>
  <si>
    <t>3 FC Alverca-AFS</t>
  </si>
  <si>
    <t>4 Moreirense-Nacional</t>
  </si>
  <si>
    <t>5 Estoril-Casa Pia AC</t>
  </si>
  <si>
    <t>6 E. Amadora-Gil Vicente</t>
  </si>
  <si>
    <t>7 Santa Clara-V. Guimarães</t>
  </si>
  <si>
    <t>8 Varzim-Académica</t>
  </si>
  <si>
    <t>9 Wrexham AFC-Chelsea</t>
  </si>
  <si>
    <t>10 Newcastle-Manchester City</t>
  </si>
  <si>
    <t>11 Athletic Bilbau-Barcelona</t>
  </si>
  <si>
    <t>12 Atl. Madrid-Real Sociedad</t>
  </si>
  <si>
    <t>13 FC Felgueiras-FC Vizela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</si>
</sst>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9" borderId="0" xfId="0" applyFont="1" applyFill="1"/>
    <xf numFmtId="0" fontId="1" fillId="0" borderId="0" xfId="0" applyFont="1"/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AA14" sqref="AA14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1</v>
      </c>
      <c r="O1" s="37">
        <f>COUNTIF($C$18:$AY$18,7)</f>
        <v>1</v>
      </c>
      <c r="P1" s="37">
        <f>COUNTIF($C$18:$AY$18,6)</f>
        <v>3</v>
      </c>
      <c r="Q1" s="37">
        <f>COUNTIF($C$18:$AY$18,5)</f>
        <v>5</v>
      </c>
      <c r="R1" s="37">
        <f>COUNTIF($C$18:$AY$18,4)</f>
        <v>8</v>
      </c>
      <c r="S1" s="37">
        <f>COUNTIF($C$18:$AY$18,3)</f>
        <v>11</v>
      </c>
      <c r="T1" s="37">
        <f>COUNTIF($C$18:$AY$18,2)</f>
        <v>1</v>
      </c>
      <c r="U1" s="37">
        <f>COUNTIF($C$18:$AY$18,1)</f>
        <v>0</v>
      </c>
      <c r="V1" s="37">
        <f>COUNTIF($C$18:$AY$18,0)</f>
        <v>0</v>
      </c>
      <c r="AW1" s="4"/>
    </row>
    <row r="2" spans="1:111" s="4" customFormat="1" ht="20.399999999999999" customHeight="1" x14ac:dyDescent="0.4">
      <c r="A2" s="45" t="s">
        <v>52</v>
      </c>
      <c r="B2" s="44" t="s">
        <v>41</v>
      </c>
      <c r="C2" s="33" t="s">
        <v>4</v>
      </c>
      <c r="D2" s="33" t="s">
        <v>4</v>
      </c>
      <c r="E2" s="33" t="s">
        <v>4</v>
      </c>
      <c r="F2" s="33" t="s">
        <v>4</v>
      </c>
      <c r="G2" s="33" t="s">
        <v>4</v>
      </c>
      <c r="H2" s="33" t="s">
        <v>4</v>
      </c>
      <c r="I2" s="33" t="s">
        <v>4</v>
      </c>
      <c r="J2" s="33" t="s">
        <v>4</v>
      </c>
      <c r="K2" s="33" t="s">
        <v>4</v>
      </c>
      <c r="L2" s="33" t="s">
        <v>4</v>
      </c>
      <c r="M2" s="33" t="s">
        <v>29</v>
      </c>
      <c r="N2" s="33" t="s">
        <v>29</v>
      </c>
      <c r="O2" s="33" t="s">
        <v>29</v>
      </c>
      <c r="P2" s="33" t="s">
        <v>29</v>
      </c>
      <c r="Q2" s="33" t="s">
        <v>29</v>
      </c>
      <c r="R2" s="33" t="s">
        <v>3</v>
      </c>
      <c r="S2" s="33" t="s">
        <v>3</v>
      </c>
      <c r="T2" s="33" t="s">
        <v>3</v>
      </c>
      <c r="U2" s="33" t="s">
        <v>3</v>
      </c>
      <c r="V2" s="33" t="s">
        <v>3</v>
      </c>
      <c r="W2" s="33" t="s">
        <v>4</v>
      </c>
      <c r="X2" s="33" t="s">
        <v>4</v>
      </c>
      <c r="Y2" s="34" t="s">
        <v>4</v>
      </c>
      <c r="Z2" s="34" t="s">
        <v>4</v>
      </c>
      <c r="AA2" s="47" t="s">
        <v>4</v>
      </c>
      <c r="AB2" s="34" t="s">
        <v>4</v>
      </c>
      <c r="AC2" s="34" t="s">
        <v>4</v>
      </c>
      <c r="AD2" s="34" t="s">
        <v>4</v>
      </c>
      <c r="AE2" s="34" t="s">
        <v>4</v>
      </c>
      <c r="AF2" s="34" t="s">
        <v>4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20</v>
      </c>
      <c r="BB2" s="8">
        <f t="shared" ref="BB2:BB14" si="1">COUNTIF(C2:AY2,"x")</f>
        <v>5</v>
      </c>
      <c r="BC2" s="8">
        <f t="shared" ref="BC2:BC14" si="2">COUNTIF(C2:AY2,2)</f>
        <v>5</v>
      </c>
      <c r="BD2" s="6">
        <f>BA2+BB2+BC2</f>
        <v>30</v>
      </c>
      <c r="BE2" s="9">
        <f>BA2/$BD$2*100</f>
        <v>66.666666666666657</v>
      </c>
      <c r="BF2" s="9">
        <f t="shared" ref="BF2:BG2" si="3">BB2/$BD$2*100</f>
        <v>16.666666666666664</v>
      </c>
      <c r="BG2" s="9">
        <f t="shared" si="3"/>
        <v>16.666666666666664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5" t="s">
        <v>53</v>
      </c>
      <c r="B3" s="44" t="s">
        <v>41</v>
      </c>
      <c r="C3" s="33" t="s">
        <v>29</v>
      </c>
      <c r="D3" s="33" t="s">
        <v>29</v>
      </c>
      <c r="E3" s="33" t="s">
        <v>3</v>
      </c>
      <c r="F3" s="33" t="s">
        <v>3</v>
      </c>
      <c r="G3" s="33" t="s">
        <v>3</v>
      </c>
      <c r="H3" s="33" t="s">
        <v>3</v>
      </c>
      <c r="I3" s="33" t="s">
        <v>3</v>
      </c>
      <c r="J3" s="33" t="s">
        <v>3</v>
      </c>
      <c r="K3" s="33" t="s">
        <v>3</v>
      </c>
      <c r="L3" s="33" t="s">
        <v>3</v>
      </c>
      <c r="M3" s="33" t="s">
        <v>3</v>
      </c>
      <c r="N3" s="33" t="s">
        <v>4</v>
      </c>
      <c r="O3" s="33" t="s">
        <v>4</v>
      </c>
      <c r="P3" s="33" t="s">
        <v>4</v>
      </c>
      <c r="Q3" s="33" t="s">
        <v>4</v>
      </c>
      <c r="R3" s="33" t="s">
        <v>29</v>
      </c>
      <c r="S3" s="33" t="s">
        <v>29</v>
      </c>
      <c r="T3" s="33" t="s">
        <v>29</v>
      </c>
      <c r="U3" s="33" t="s">
        <v>29</v>
      </c>
      <c r="V3" s="33" t="s">
        <v>29</v>
      </c>
      <c r="W3" s="33" t="s">
        <v>3</v>
      </c>
      <c r="X3" s="33" t="s">
        <v>3</v>
      </c>
      <c r="Y3" s="34" t="s">
        <v>3</v>
      </c>
      <c r="Z3" s="34" t="s">
        <v>3</v>
      </c>
      <c r="AA3" s="47" t="s">
        <v>4</v>
      </c>
      <c r="AB3" s="34" t="s">
        <v>4</v>
      </c>
      <c r="AC3" s="34" t="s">
        <v>4</v>
      </c>
      <c r="AD3" s="34" t="s">
        <v>4</v>
      </c>
      <c r="AE3" s="34" t="s">
        <v>4</v>
      </c>
      <c r="AF3" s="34" t="s">
        <v>4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10</v>
      </c>
      <c r="BB3" s="14">
        <f t="shared" si="1"/>
        <v>7</v>
      </c>
      <c r="BC3" s="14">
        <f t="shared" si="2"/>
        <v>13</v>
      </c>
      <c r="BD3" s="6">
        <f t="shared" ref="BD3:BD14" si="4">BA3+BB3+BC3</f>
        <v>30</v>
      </c>
      <c r="BE3" s="9">
        <f t="shared" ref="BE3:BE14" si="5">BA3/$BD$2*100</f>
        <v>33.333333333333329</v>
      </c>
      <c r="BF3" s="9">
        <f t="shared" ref="BF3:BF14" si="6">BB3/$BD$2*100</f>
        <v>23.333333333333332</v>
      </c>
      <c r="BG3" s="9">
        <f t="shared" ref="BG3:BG14" si="7">BC3/$BD$2*100</f>
        <v>43.333333333333336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5" t="s">
        <v>54</v>
      </c>
      <c r="B4" s="44" t="s">
        <v>41</v>
      </c>
      <c r="C4" s="33" t="s">
        <v>4</v>
      </c>
      <c r="D4" s="33" t="s">
        <v>4</v>
      </c>
      <c r="E4" s="33" t="s">
        <v>29</v>
      </c>
      <c r="F4" s="33" t="s">
        <v>29</v>
      </c>
      <c r="G4" s="33" t="s">
        <v>29</v>
      </c>
      <c r="H4" s="33" t="s">
        <v>29</v>
      </c>
      <c r="I4" s="33" t="s">
        <v>29</v>
      </c>
      <c r="J4" s="33" t="s">
        <v>3</v>
      </c>
      <c r="K4" s="33" t="s">
        <v>4</v>
      </c>
      <c r="L4" s="33" t="s">
        <v>4</v>
      </c>
      <c r="M4" s="33" t="s">
        <v>4</v>
      </c>
      <c r="N4" s="33" t="s">
        <v>29</v>
      </c>
      <c r="O4" s="33" t="s">
        <v>4</v>
      </c>
      <c r="P4" s="33" t="s">
        <v>4</v>
      </c>
      <c r="Q4" s="33" t="s">
        <v>4</v>
      </c>
      <c r="R4" s="33" t="s">
        <v>29</v>
      </c>
      <c r="S4" s="33" t="s">
        <v>29</v>
      </c>
      <c r="T4" s="33" t="s">
        <v>4</v>
      </c>
      <c r="U4" s="33" t="s">
        <v>4</v>
      </c>
      <c r="V4" s="33" t="s">
        <v>4</v>
      </c>
      <c r="W4" s="33" t="s">
        <v>4</v>
      </c>
      <c r="X4" s="33" t="s">
        <v>4</v>
      </c>
      <c r="Y4" s="34" t="s">
        <v>4</v>
      </c>
      <c r="Z4" s="34" t="s">
        <v>4</v>
      </c>
      <c r="AA4" s="34" t="s">
        <v>29</v>
      </c>
      <c r="AB4" s="34" t="s">
        <v>29</v>
      </c>
      <c r="AC4" s="34" t="s">
        <v>29</v>
      </c>
      <c r="AD4" s="34" t="s">
        <v>29</v>
      </c>
      <c r="AE4" s="34" t="s">
        <v>29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16</v>
      </c>
      <c r="BB4" s="8">
        <f t="shared" si="1"/>
        <v>13</v>
      </c>
      <c r="BC4" s="8">
        <f t="shared" si="2"/>
        <v>1</v>
      </c>
      <c r="BD4" s="15">
        <f t="shared" si="4"/>
        <v>30</v>
      </c>
      <c r="BE4" s="16">
        <f t="shared" si="5"/>
        <v>53.333333333333336</v>
      </c>
      <c r="BF4" s="16">
        <f t="shared" si="6"/>
        <v>43.333333333333336</v>
      </c>
      <c r="BG4" s="16">
        <f t="shared" si="7"/>
        <v>3.3333333333333335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6" t="s">
        <v>55</v>
      </c>
      <c r="B5" s="44" t="s">
        <v>41</v>
      </c>
      <c r="C5" s="35" t="s">
        <v>29</v>
      </c>
      <c r="D5" s="35" t="s">
        <v>4</v>
      </c>
      <c r="E5" s="35" t="s">
        <v>29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29</v>
      </c>
      <c r="L5" s="35" t="s">
        <v>4</v>
      </c>
      <c r="M5" s="35" t="s">
        <v>4</v>
      </c>
      <c r="N5" s="35" t="s">
        <v>4</v>
      </c>
      <c r="O5" s="35" t="s">
        <v>29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29</v>
      </c>
      <c r="U5" s="35" t="s">
        <v>29</v>
      </c>
      <c r="V5" s="35" t="s">
        <v>3</v>
      </c>
      <c r="W5" s="35" t="s">
        <v>4</v>
      </c>
      <c r="X5" s="35" t="s">
        <v>4</v>
      </c>
      <c r="Y5" s="1" t="s">
        <v>4</v>
      </c>
      <c r="Z5" s="1" t="s">
        <v>4</v>
      </c>
      <c r="AA5" s="1" t="s">
        <v>29</v>
      </c>
      <c r="AB5" s="1" t="s">
        <v>4</v>
      </c>
      <c r="AC5" s="1" t="s">
        <v>4</v>
      </c>
      <c r="AD5" s="1" t="s">
        <v>4</v>
      </c>
      <c r="AE5" s="1" t="s">
        <v>4</v>
      </c>
      <c r="AF5" s="1" t="s">
        <v>29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21</v>
      </c>
      <c r="BB5" s="11">
        <f t="shared" si="1"/>
        <v>8</v>
      </c>
      <c r="BC5" s="11">
        <f t="shared" si="2"/>
        <v>1</v>
      </c>
      <c r="BD5" s="17">
        <f t="shared" si="4"/>
        <v>30</v>
      </c>
      <c r="BE5" s="18">
        <f t="shared" si="5"/>
        <v>70</v>
      </c>
      <c r="BF5" s="18">
        <f t="shared" si="6"/>
        <v>26.666666666666668</v>
      </c>
      <c r="BG5" s="18">
        <f t="shared" si="7"/>
        <v>3.3333333333333335</v>
      </c>
      <c r="BH5" s="13"/>
      <c r="BI5" s="13"/>
      <c r="BJ5" s="13"/>
    </row>
    <row r="6" spans="1:111" s="12" customFormat="1" ht="20.399999999999999" customHeight="1" x14ac:dyDescent="0.4">
      <c r="A6" s="46" t="s">
        <v>56</v>
      </c>
      <c r="B6" s="44" t="s">
        <v>41</v>
      </c>
      <c r="C6" s="35" t="s">
        <v>3</v>
      </c>
      <c r="D6" s="35" t="s">
        <v>3</v>
      </c>
      <c r="E6" s="35" t="s">
        <v>4</v>
      </c>
      <c r="F6" s="35" t="s">
        <v>29</v>
      </c>
      <c r="G6" s="35" t="s">
        <v>3</v>
      </c>
      <c r="H6" s="35" t="s">
        <v>4</v>
      </c>
      <c r="I6" s="35" t="s">
        <v>4</v>
      </c>
      <c r="J6" s="35" t="s">
        <v>29</v>
      </c>
      <c r="K6" s="35" t="s">
        <v>4</v>
      </c>
      <c r="L6" s="35" t="s">
        <v>29</v>
      </c>
      <c r="M6" s="35" t="s">
        <v>4</v>
      </c>
      <c r="N6" s="35" t="s">
        <v>4</v>
      </c>
      <c r="O6" s="35" t="s">
        <v>4</v>
      </c>
      <c r="P6" s="35" t="s">
        <v>29</v>
      </c>
      <c r="Q6" s="35" t="s">
        <v>4</v>
      </c>
      <c r="R6" s="35" t="s">
        <v>4</v>
      </c>
      <c r="S6" s="35" t="s">
        <v>4</v>
      </c>
      <c r="T6" s="35" t="s">
        <v>4</v>
      </c>
      <c r="U6" s="35" t="s">
        <v>4</v>
      </c>
      <c r="V6" s="35" t="s">
        <v>4</v>
      </c>
      <c r="W6" s="35" t="s">
        <v>29</v>
      </c>
      <c r="X6" s="35" t="s">
        <v>3</v>
      </c>
      <c r="Y6" s="1" t="s">
        <v>4</v>
      </c>
      <c r="Z6" s="1" t="s">
        <v>4</v>
      </c>
      <c r="AA6" s="47" t="s">
        <v>4</v>
      </c>
      <c r="AB6" s="1" t="s">
        <v>29</v>
      </c>
      <c r="AC6" s="1" t="s">
        <v>3</v>
      </c>
      <c r="AD6" s="1" t="s">
        <v>4</v>
      </c>
      <c r="AE6" s="1" t="s">
        <v>4</v>
      </c>
      <c r="AF6" s="1" t="s">
        <v>4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19</v>
      </c>
      <c r="BB6" s="11">
        <f t="shared" si="1"/>
        <v>6</v>
      </c>
      <c r="BC6" s="11">
        <f t="shared" si="2"/>
        <v>5</v>
      </c>
      <c r="BD6" s="17">
        <f t="shared" si="4"/>
        <v>30</v>
      </c>
      <c r="BE6" s="18">
        <f t="shared" si="5"/>
        <v>63.333333333333329</v>
      </c>
      <c r="BF6" s="18">
        <f t="shared" si="6"/>
        <v>20</v>
      </c>
      <c r="BG6" s="18">
        <f t="shared" si="7"/>
        <v>16.666666666666664</v>
      </c>
      <c r="BH6" s="13"/>
      <c r="BI6" s="13"/>
      <c r="BJ6" s="13"/>
    </row>
    <row r="7" spans="1:111" s="12" customFormat="1" ht="20.399999999999999" customHeight="1" x14ac:dyDescent="0.4">
      <c r="A7" s="46" t="s">
        <v>57</v>
      </c>
      <c r="B7" s="44" t="s">
        <v>41</v>
      </c>
      <c r="C7" s="35" t="s">
        <v>4</v>
      </c>
      <c r="D7" s="35" t="s">
        <v>3</v>
      </c>
      <c r="E7" s="35" t="s">
        <v>4</v>
      </c>
      <c r="F7" s="35" t="s">
        <v>4</v>
      </c>
      <c r="G7" s="35" t="s">
        <v>29</v>
      </c>
      <c r="H7" s="35" t="s">
        <v>29</v>
      </c>
      <c r="I7" s="35" t="s">
        <v>3</v>
      </c>
      <c r="J7" s="35" t="s">
        <v>3</v>
      </c>
      <c r="K7" s="35" t="s">
        <v>4</v>
      </c>
      <c r="L7" s="35" t="s">
        <v>29</v>
      </c>
      <c r="M7" s="35" t="s">
        <v>29</v>
      </c>
      <c r="N7" s="35" t="s">
        <v>3</v>
      </c>
      <c r="O7" s="35" t="s">
        <v>3</v>
      </c>
      <c r="P7" s="35" t="s">
        <v>3</v>
      </c>
      <c r="Q7" s="35" t="s">
        <v>3</v>
      </c>
      <c r="R7" s="35" t="s">
        <v>29</v>
      </c>
      <c r="S7" s="35" t="s">
        <v>4</v>
      </c>
      <c r="T7" s="35" t="s">
        <v>4</v>
      </c>
      <c r="U7" s="35" t="s">
        <v>4</v>
      </c>
      <c r="V7" s="35" t="s">
        <v>3</v>
      </c>
      <c r="W7" s="35" t="s">
        <v>3</v>
      </c>
      <c r="X7" s="35" t="s">
        <v>29</v>
      </c>
      <c r="Y7" s="1" t="s">
        <v>29</v>
      </c>
      <c r="Z7" s="1" t="s">
        <v>29</v>
      </c>
      <c r="AA7" s="47" t="s">
        <v>3</v>
      </c>
      <c r="AB7" s="1" t="s">
        <v>3</v>
      </c>
      <c r="AC7" s="1" t="s">
        <v>29</v>
      </c>
      <c r="AD7" s="1" t="s">
        <v>3</v>
      </c>
      <c r="AE7" s="1" t="s">
        <v>3</v>
      </c>
      <c r="AF7" s="1" t="s">
        <v>3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7</v>
      </c>
      <c r="BB7" s="11">
        <f t="shared" si="1"/>
        <v>9</v>
      </c>
      <c r="BC7" s="11">
        <f t="shared" si="2"/>
        <v>14</v>
      </c>
      <c r="BD7" s="17">
        <f t="shared" si="4"/>
        <v>30</v>
      </c>
      <c r="BE7" s="18">
        <f t="shared" si="5"/>
        <v>23.333333333333332</v>
      </c>
      <c r="BF7" s="18">
        <f t="shared" si="6"/>
        <v>30</v>
      </c>
      <c r="BG7" s="18">
        <f t="shared" si="7"/>
        <v>46.666666666666664</v>
      </c>
      <c r="BH7" s="13"/>
      <c r="BI7" s="13"/>
      <c r="BJ7" s="13"/>
    </row>
    <row r="8" spans="1:111" s="7" customFormat="1" ht="20.399999999999999" customHeight="1" x14ac:dyDescent="0.4">
      <c r="A8" s="45" t="s">
        <v>58</v>
      </c>
      <c r="B8" s="44" t="s">
        <v>4</v>
      </c>
      <c r="C8" s="33" t="s">
        <v>29</v>
      </c>
      <c r="D8" s="33" t="s">
        <v>29</v>
      </c>
      <c r="E8" s="33" t="s">
        <v>3</v>
      </c>
      <c r="F8" s="33" t="s">
        <v>4</v>
      </c>
      <c r="G8" s="33" t="s">
        <v>3</v>
      </c>
      <c r="H8" s="33" t="s">
        <v>4</v>
      </c>
      <c r="I8" s="33" t="s">
        <v>4</v>
      </c>
      <c r="J8" s="33" t="s">
        <v>4</v>
      </c>
      <c r="K8" s="33" t="s">
        <v>3</v>
      </c>
      <c r="L8" s="33" t="s">
        <v>4</v>
      </c>
      <c r="M8" s="33" t="s">
        <v>4</v>
      </c>
      <c r="N8" s="33" t="s">
        <v>4</v>
      </c>
      <c r="O8" s="33" t="s">
        <v>3</v>
      </c>
      <c r="P8" s="33" t="s">
        <v>4</v>
      </c>
      <c r="Q8" s="33" t="s">
        <v>4</v>
      </c>
      <c r="R8" s="33" t="s">
        <v>4</v>
      </c>
      <c r="S8" s="33" t="s">
        <v>4</v>
      </c>
      <c r="T8" s="33" t="s">
        <v>29</v>
      </c>
      <c r="U8" s="33" t="s">
        <v>4</v>
      </c>
      <c r="V8" s="33" t="s">
        <v>4</v>
      </c>
      <c r="W8" s="33" t="s">
        <v>3</v>
      </c>
      <c r="X8" s="33" t="s">
        <v>29</v>
      </c>
      <c r="Y8" s="34" t="s">
        <v>29</v>
      </c>
      <c r="Z8" s="34" t="s">
        <v>4</v>
      </c>
      <c r="AA8" s="34" t="s">
        <v>4</v>
      </c>
      <c r="AB8" s="34" t="s">
        <v>4</v>
      </c>
      <c r="AC8" s="34" t="s">
        <v>29</v>
      </c>
      <c r="AD8" s="34" t="s">
        <v>29</v>
      </c>
      <c r="AE8" s="34" t="s">
        <v>4</v>
      </c>
      <c r="AF8" s="34" t="s">
        <v>4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18</v>
      </c>
      <c r="BB8" s="8">
        <f t="shared" si="1"/>
        <v>7</v>
      </c>
      <c r="BC8" s="8">
        <f t="shared" si="2"/>
        <v>5</v>
      </c>
      <c r="BD8" s="15">
        <f t="shared" si="4"/>
        <v>30</v>
      </c>
      <c r="BE8" s="16">
        <f t="shared" si="5"/>
        <v>60</v>
      </c>
      <c r="BF8" s="16">
        <f t="shared" si="6"/>
        <v>23.333333333333332</v>
      </c>
      <c r="BG8" s="16">
        <f t="shared" si="7"/>
        <v>16.666666666666664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5" t="s">
        <v>59</v>
      </c>
      <c r="B9" s="44" t="s">
        <v>3</v>
      </c>
      <c r="C9" s="33" t="s">
        <v>4</v>
      </c>
      <c r="D9" s="33" t="s">
        <v>4</v>
      </c>
      <c r="E9" s="33" t="s">
        <v>4</v>
      </c>
      <c r="F9" s="33" t="s">
        <v>3</v>
      </c>
      <c r="G9" s="33" t="s">
        <v>4</v>
      </c>
      <c r="H9" s="33" t="s">
        <v>29</v>
      </c>
      <c r="I9" s="33" t="s">
        <v>29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3</v>
      </c>
      <c r="O9" s="33" t="s">
        <v>29</v>
      </c>
      <c r="P9" s="33" t="s">
        <v>29</v>
      </c>
      <c r="Q9" s="33" t="s">
        <v>3</v>
      </c>
      <c r="R9" s="33" t="s">
        <v>3</v>
      </c>
      <c r="S9" s="33" t="s">
        <v>29</v>
      </c>
      <c r="T9" s="33" t="s">
        <v>4</v>
      </c>
      <c r="U9" s="33" t="s">
        <v>29</v>
      </c>
      <c r="V9" s="33" t="s">
        <v>4</v>
      </c>
      <c r="W9" s="33" t="s">
        <v>4</v>
      </c>
      <c r="X9" s="33" t="s">
        <v>4</v>
      </c>
      <c r="Y9" s="34" t="s">
        <v>3</v>
      </c>
      <c r="Z9" s="34" t="s">
        <v>3</v>
      </c>
      <c r="AA9" s="34" t="s">
        <v>3</v>
      </c>
      <c r="AB9" s="34" t="s">
        <v>29</v>
      </c>
      <c r="AC9" s="34" t="s">
        <v>29</v>
      </c>
      <c r="AD9" s="34" t="s">
        <v>4</v>
      </c>
      <c r="AE9" s="34" t="s">
        <v>4</v>
      </c>
      <c r="AF9" s="34" t="s">
        <v>29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14</v>
      </c>
      <c r="BB9" s="8">
        <f t="shared" si="1"/>
        <v>9</v>
      </c>
      <c r="BC9" s="8">
        <f t="shared" si="2"/>
        <v>7</v>
      </c>
      <c r="BD9" s="15">
        <f t="shared" si="4"/>
        <v>30</v>
      </c>
      <c r="BE9" s="16">
        <f t="shared" si="5"/>
        <v>46.666666666666664</v>
      </c>
      <c r="BF9" s="16">
        <f t="shared" si="6"/>
        <v>30</v>
      </c>
      <c r="BG9" s="16">
        <f t="shared" si="7"/>
        <v>23.333333333333332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5" t="s">
        <v>60</v>
      </c>
      <c r="B10" s="44" t="s">
        <v>41</v>
      </c>
      <c r="C10" s="33" t="s">
        <v>3</v>
      </c>
      <c r="D10" s="33" t="s">
        <v>3</v>
      </c>
      <c r="E10" s="33" t="s">
        <v>29</v>
      </c>
      <c r="F10" s="33" t="s">
        <v>3</v>
      </c>
      <c r="G10" s="33" t="s">
        <v>3</v>
      </c>
      <c r="H10" s="33" t="s">
        <v>3</v>
      </c>
      <c r="I10" s="33" t="s">
        <v>3</v>
      </c>
      <c r="J10" s="33" t="s">
        <v>3</v>
      </c>
      <c r="K10" s="33" t="s">
        <v>3</v>
      </c>
      <c r="L10" s="33" t="s">
        <v>3</v>
      </c>
      <c r="M10" s="33" t="s">
        <v>3</v>
      </c>
      <c r="N10" s="33" t="s">
        <v>3</v>
      </c>
      <c r="O10" s="33" t="s">
        <v>3</v>
      </c>
      <c r="P10" s="33" t="s">
        <v>3</v>
      </c>
      <c r="Q10" s="33" t="s">
        <v>3</v>
      </c>
      <c r="R10" s="33" t="s">
        <v>3</v>
      </c>
      <c r="S10" s="33" t="s">
        <v>3</v>
      </c>
      <c r="T10" s="33" t="s">
        <v>3</v>
      </c>
      <c r="U10" s="33" t="s">
        <v>3</v>
      </c>
      <c r="V10" s="33" t="s">
        <v>3</v>
      </c>
      <c r="W10" s="33" t="s">
        <v>29</v>
      </c>
      <c r="X10" s="33" t="s">
        <v>3</v>
      </c>
      <c r="Y10" s="34" t="s">
        <v>3</v>
      </c>
      <c r="Z10" s="34" t="s">
        <v>29</v>
      </c>
      <c r="AA10" s="34" t="s">
        <v>29</v>
      </c>
      <c r="AB10" s="34" t="s">
        <v>3</v>
      </c>
      <c r="AC10" s="34" t="s">
        <v>3</v>
      </c>
      <c r="AD10" s="34" t="s">
        <v>3</v>
      </c>
      <c r="AE10" s="34" t="s">
        <v>3</v>
      </c>
      <c r="AF10" s="34" t="s">
        <v>3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0</v>
      </c>
      <c r="BB10" s="8">
        <f t="shared" si="1"/>
        <v>4</v>
      </c>
      <c r="BC10" s="8">
        <f t="shared" si="2"/>
        <v>26</v>
      </c>
      <c r="BD10" s="15">
        <f t="shared" si="4"/>
        <v>30</v>
      </c>
      <c r="BE10" s="16">
        <f t="shared" si="5"/>
        <v>0</v>
      </c>
      <c r="BF10" s="16">
        <f t="shared" si="6"/>
        <v>13.333333333333334</v>
      </c>
      <c r="BG10" s="16">
        <f t="shared" si="7"/>
        <v>86.666666666666671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6" t="s">
        <v>61</v>
      </c>
      <c r="B11" s="44" t="s">
        <v>3</v>
      </c>
      <c r="C11" s="35" t="s">
        <v>29</v>
      </c>
      <c r="D11" s="35" t="s">
        <v>3</v>
      </c>
      <c r="E11" s="35" t="s">
        <v>3</v>
      </c>
      <c r="F11" s="35" t="s">
        <v>3</v>
      </c>
      <c r="G11" s="35" t="s">
        <v>3</v>
      </c>
      <c r="H11" s="35" t="s">
        <v>29</v>
      </c>
      <c r="I11" s="35" t="s">
        <v>4</v>
      </c>
      <c r="J11" s="35" t="s">
        <v>3</v>
      </c>
      <c r="K11" s="35" t="s">
        <v>3</v>
      </c>
      <c r="L11" s="35" t="s">
        <v>4</v>
      </c>
      <c r="M11" s="35" t="s">
        <v>4</v>
      </c>
      <c r="N11" s="35" t="s">
        <v>3</v>
      </c>
      <c r="O11" s="35" t="s">
        <v>3</v>
      </c>
      <c r="P11" s="35" t="s">
        <v>4</v>
      </c>
      <c r="Q11" s="35" t="s">
        <v>4</v>
      </c>
      <c r="R11" s="35" t="s">
        <v>3</v>
      </c>
      <c r="S11" s="35" t="s">
        <v>3</v>
      </c>
      <c r="T11" s="35" t="s">
        <v>4</v>
      </c>
      <c r="U11" s="35" t="s">
        <v>29</v>
      </c>
      <c r="V11" s="35" t="s">
        <v>3</v>
      </c>
      <c r="W11" s="35" t="s">
        <v>3</v>
      </c>
      <c r="X11" s="35" t="s">
        <v>3</v>
      </c>
      <c r="Y11" s="1" t="s">
        <v>4</v>
      </c>
      <c r="Z11" s="1" t="s">
        <v>4</v>
      </c>
      <c r="AA11" s="1" t="s">
        <v>3</v>
      </c>
      <c r="AB11" s="1" t="s">
        <v>4</v>
      </c>
      <c r="AC11" s="1" t="s">
        <v>4</v>
      </c>
      <c r="AD11" s="1" t="s">
        <v>3</v>
      </c>
      <c r="AE11" s="1" t="s">
        <v>29</v>
      </c>
      <c r="AF11" s="1" t="s">
        <v>29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10</v>
      </c>
      <c r="BB11" s="11">
        <f t="shared" si="1"/>
        <v>5</v>
      </c>
      <c r="BC11" s="11">
        <f t="shared" si="2"/>
        <v>15</v>
      </c>
      <c r="BD11" s="17">
        <f t="shared" si="4"/>
        <v>30</v>
      </c>
      <c r="BE11" s="18">
        <f t="shared" si="5"/>
        <v>33.333333333333329</v>
      </c>
      <c r="BF11" s="18">
        <f t="shared" si="6"/>
        <v>16.666666666666664</v>
      </c>
      <c r="BG11" s="18">
        <f t="shared" si="7"/>
        <v>50</v>
      </c>
      <c r="BH11" s="13"/>
      <c r="BI11" s="13"/>
      <c r="BJ11" s="13"/>
    </row>
    <row r="12" spans="1:111" s="12" customFormat="1" ht="20.399999999999999" customHeight="1" x14ac:dyDescent="0.4">
      <c r="A12" s="46" t="s">
        <v>62</v>
      </c>
      <c r="B12" s="44" t="s">
        <v>3</v>
      </c>
      <c r="C12" s="35" t="s">
        <v>4</v>
      </c>
      <c r="D12" s="35" t="s">
        <v>3</v>
      </c>
      <c r="E12" s="35" t="s">
        <v>3</v>
      </c>
      <c r="F12" s="35" t="s">
        <v>29</v>
      </c>
      <c r="G12" s="35" t="s">
        <v>29</v>
      </c>
      <c r="H12" s="35" t="s">
        <v>29</v>
      </c>
      <c r="I12" s="35" t="s">
        <v>4</v>
      </c>
      <c r="J12" s="35" t="s">
        <v>29</v>
      </c>
      <c r="K12" s="35" t="s">
        <v>29</v>
      </c>
      <c r="L12" s="35" t="s">
        <v>3</v>
      </c>
      <c r="M12" s="35" t="s">
        <v>29</v>
      </c>
      <c r="N12" s="35" t="s">
        <v>29</v>
      </c>
      <c r="O12" s="35" t="s">
        <v>4</v>
      </c>
      <c r="P12" s="35" t="s">
        <v>3</v>
      </c>
      <c r="Q12" s="35" t="s">
        <v>3</v>
      </c>
      <c r="R12" s="35" t="s">
        <v>29</v>
      </c>
      <c r="S12" s="35" t="s">
        <v>3</v>
      </c>
      <c r="T12" s="35" t="s">
        <v>3</v>
      </c>
      <c r="U12" s="35" t="s">
        <v>3</v>
      </c>
      <c r="V12" s="35" t="s">
        <v>29</v>
      </c>
      <c r="W12" s="35" t="s">
        <v>4</v>
      </c>
      <c r="X12" s="35" t="s">
        <v>29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29</v>
      </c>
      <c r="AE12" s="1" t="s">
        <v>3</v>
      </c>
      <c r="AF12" s="1" t="s">
        <v>3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4</v>
      </c>
      <c r="BB12" s="11">
        <f t="shared" si="1"/>
        <v>11</v>
      </c>
      <c r="BC12" s="11">
        <f t="shared" si="2"/>
        <v>15</v>
      </c>
      <c r="BD12" s="17">
        <f t="shared" si="4"/>
        <v>30</v>
      </c>
      <c r="BE12" s="18">
        <f t="shared" si="5"/>
        <v>13.333333333333334</v>
      </c>
      <c r="BF12" s="18">
        <f t="shared" si="6"/>
        <v>36.666666666666664</v>
      </c>
      <c r="BG12" s="18">
        <f t="shared" si="7"/>
        <v>50</v>
      </c>
      <c r="BH12" s="13"/>
      <c r="BI12" s="13"/>
      <c r="BJ12" s="13"/>
    </row>
    <row r="13" spans="1:111" s="12" customFormat="1" ht="20.399999999999999" customHeight="1" x14ac:dyDescent="0.4">
      <c r="A13" s="46" t="s">
        <v>63</v>
      </c>
      <c r="B13" s="44" t="s">
        <v>4</v>
      </c>
      <c r="C13" s="35" t="s">
        <v>4</v>
      </c>
      <c r="D13" s="35" t="s">
        <v>29</v>
      </c>
      <c r="E13" s="35" t="s">
        <v>4</v>
      </c>
      <c r="F13" s="35" t="s">
        <v>29</v>
      </c>
      <c r="G13" s="35" t="s">
        <v>4</v>
      </c>
      <c r="H13" s="35" t="s">
        <v>3</v>
      </c>
      <c r="I13" s="35" t="s">
        <v>4</v>
      </c>
      <c r="J13" s="35" t="s">
        <v>4</v>
      </c>
      <c r="K13" s="35" t="s">
        <v>4</v>
      </c>
      <c r="L13" s="35" t="s">
        <v>3</v>
      </c>
      <c r="M13" s="35" t="s">
        <v>3</v>
      </c>
      <c r="N13" s="35" t="s">
        <v>4</v>
      </c>
      <c r="O13" s="35" t="s">
        <v>29</v>
      </c>
      <c r="P13" s="35" t="s">
        <v>4</v>
      </c>
      <c r="Q13" s="35" t="s">
        <v>29</v>
      </c>
      <c r="R13" s="35" t="s">
        <v>4</v>
      </c>
      <c r="S13" s="35" t="s">
        <v>4</v>
      </c>
      <c r="T13" s="35" t="s">
        <v>29</v>
      </c>
      <c r="U13" s="35" t="s">
        <v>4</v>
      </c>
      <c r="V13" s="35" t="s">
        <v>29</v>
      </c>
      <c r="W13" s="35" t="s">
        <v>29</v>
      </c>
      <c r="X13" s="35" t="s">
        <v>29</v>
      </c>
      <c r="Y13" s="1" t="s">
        <v>29</v>
      </c>
      <c r="Z13" s="1" t="s">
        <v>3</v>
      </c>
      <c r="AA13" s="1" t="s">
        <v>4</v>
      </c>
      <c r="AB13" s="1" t="s">
        <v>4</v>
      </c>
      <c r="AC13" s="1" t="s">
        <v>29</v>
      </c>
      <c r="AD13" s="1" t="s">
        <v>4</v>
      </c>
      <c r="AE13" s="1" t="s">
        <v>3</v>
      </c>
      <c r="AF13" s="1" t="s">
        <v>3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14</v>
      </c>
      <c r="BB13" s="11">
        <f t="shared" si="1"/>
        <v>10</v>
      </c>
      <c r="BC13" s="11">
        <f t="shared" si="2"/>
        <v>6</v>
      </c>
      <c r="BD13" s="17">
        <f t="shared" si="4"/>
        <v>30</v>
      </c>
      <c r="BE13" s="18">
        <f t="shared" si="5"/>
        <v>46.666666666666664</v>
      </c>
      <c r="BF13" s="18">
        <f t="shared" si="6"/>
        <v>33.333333333333329</v>
      </c>
      <c r="BG13" s="18">
        <f t="shared" si="7"/>
        <v>20</v>
      </c>
      <c r="BH13" s="13"/>
      <c r="BI13" s="13"/>
      <c r="BJ13" s="13"/>
    </row>
    <row r="14" spans="1:111" s="12" customFormat="1" ht="19.8" customHeight="1" x14ac:dyDescent="0.4">
      <c r="A14" s="46" t="s">
        <v>64</v>
      </c>
      <c r="B14" s="44" t="s">
        <v>3</v>
      </c>
      <c r="C14" s="35" t="s">
        <v>3</v>
      </c>
      <c r="D14" s="35" t="s">
        <v>4</v>
      </c>
      <c r="E14" s="35" t="s">
        <v>29</v>
      </c>
      <c r="F14" s="35" t="s">
        <v>4</v>
      </c>
      <c r="G14" s="35" t="s">
        <v>4</v>
      </c>
      <c r="H14" s="35" t="s">
        <v>4</v>
      </c>
      <c r="I14" s="35" t="s">
        <v>3</v>
      </c>
      <c r="J14" s="35" t="s">
        <v>4</v>
      </c>
      <c r="K14" s="35" t="s">
        <v>29</v>
      </c>
      <c r="L14" s="35" t="s">
        <v>29</v>
      </c>
      <c r="M14" s="35" t="s">
        <v>4</v>
      </c>
      <c r="N14" s="35" t="s">
        <v>4</v>
      </c>
      <c r="O14" s="35" t="s">
        <v>4</v>
      </c>
      <c r="P14" s="35" t="s">
        <v>29</v>
      </c>
      <c r="Q14" s="35" t="s">
        <v>4</v>
      </c>
      <c r="R14" s="35" t="s">
        <v>4</v>
      </c>
      <c r="S14" s="35" t="s">
        <v>4</v>
      </c>
      <c r="T14" s="35" t="s">
        <v>29</v>
      </c>
      <c r="U14" s="35" t="s">
        <v>4</v>
      </c>
      <c r="V14" s="35" t="s">
        <v>4</v>
      </c>
      <c r="W14" s="35" t="s">
        <v>3</v>
      </c>
      <c r="X14" s="35" t="s">
        <v>4</v>
      </c>
      <c r="Y14" s="1" t="s">
        <v>3</v>
      </c>
      <c r="Z14" s="1" t="s">
        <v>4</v>
      </c>
      <c r="AA14" s="47" t="s">
        <v>29</v>
      </c>
      <c r="AB14" s="1" t="s">
        <v>29</v>
      </c>
      <c r="AC14" s="1" t="s">
        <v>4</v>
      </c>
      <c r="AD14" s="1" t="s">
        <v>4</v>
      </c>
      <c r="AE14" s="1" t="s">
        <v>4</v>
      </c>
      <c r="AF14" s="1" t="s">
        <v>4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19</v>
      </c>
      <c r="BB14" s="11">
        <f t="shared" si="1"/>
        <v>7</v>
      </c>
      <c r="BC14" s="11">
        <f t="shared" si="2"/>
        <v>4</v>
      </c>
      <c r="BD14" s="17">
        <f t="shared" si="4"/>
        <v>30</v>
      </c>
      <c r="BE14" s="18">
        <f t="shared" si="5"/>
        <v>63.333333333333329</v>
      </c>
      <c r="BF14" s="18">
        <f t="shared" si="6"/>
        <v>23.333333333333332</v>
      </c>
      <c r="BG14" s="18">
        <f t="shared" si="7"/>
        <v>13.333333333333334</v>
      </c>
      <c r="BH14" s="13"/>
      <c r="BI14" s="13"/>
      <c r="BJ14" s="13"/>
    </row>
    <row r="15" spans="1:111" s="2" customFormat="1" ht="18.600000000000001" customHeight="1" x14ac:dyDescent="0.45">
      <c r="C15" s="43" t="s">
        <v>38</v>
      </c>
      <c r="D15" s="43" t="s">
        <v>38</v>
      </c>
      <c r="E15" s="43" t="s">
        <v>38</v>
      </c>
      <c r="F15" s="43" t="s">
        <v>38</v>
      </c>
      <c r="G15" s="43" t="s">
        <v>38</v>
      </c>
      <c r="H15" s="43" t="s">
        <v>38</v>
      </c>
      <c r="I15" s="43" t="s">
        <v>38</v>
      </c>
      <c r="J15" s="43" t="s">
        <v>38</v>
      </c>
      <c r="K15" s="43" t="s">
        <v>38</v>
      </c>
      <c r="L15" s="43" t="s">
        <v>38</v>
      </c>
      <c r="M15" s="43" t="s">
        <v>38</v>
      </c>
      <c r="N15" s="43" t="s">
        <v>38</v>
      </c>
      <c r="O15" s="43" t="s">
        <v>38</v>
      </c>
      <c r="P15" s="43" t="s">
        <v>38</v>
      </c>
      <c r="Q15" s="43" t="s">
        <v>38</v>
      </c>
      <c r="R15" s="43" t="s">
        <v>38</v>
      </c>
      <c r="S15" s="43" t="s">
        <v>38</v>
      </c>
      <c r="T15" s="43" t="s">
        <v>38</v>
      </c>
      <c r="U15" s="43" t="s">
        <v>38</v>
      </c>
      <c r="V15" s="43" t="s">
        <v>38</v>
      </c>
      <c r="W15" s="43" t="s">
        <v>38</v>
      </c>
      <c r="X15" s="43" t="s">
        <v>38</v>
      </c>
      <c r="Y15" s="43" t="s">
        <v>38</v>
      </c>
      <c r="Z15" s="43" t="s">
        <v>38</v>
      </c>
      <c r="AA15" s="43" t="s">
        <v>38</v>
      </c>
      <c r="AB15" s="43" t="s">
        <v>38</v>
      </c>
      <c r="AC15" s="43" t="s">
        <v>38</v>
      </c>
      <c r="AD15" s="43" t="s">
        <v>38</v>
      </c>
      <c r="AE15" s="43" t="s">
        <v>38</v>
      </c>
      <c r="AF15" s="43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8</v>
      </c>
      <c r="C16" s="42" t="s">
        <v>37</v>
      </c>
      <c r="D16" s="42" t="s">
        <v>37</v>
      </c>
      <c r="E16" s="42" t="s">
        <v>37</v>
      </c>
      <c r="F16" s="42" t="s">
        <v>37</v>
      </c>
      <c r="G16" s="42" t="s">
        <v>37</v>
      </c>
      <c r="H16" s="42" t="s">
        <v>37</v>
      </c>
      <c r="I16" s="42" t="s">
        <v>37</v>
      </c>
      <c r="J16" s="42" t="s">
        <v>37</v>
      </c>
      <c r="K16" s="42" t="s">
        <v>37</v>
      </c>
      <c r="L16" s="42" t="s">
        <v>37</v>
      </c>
      <c r="M16" s="42" t="s">
        <v>37</v>
      </c>
      <c r="N16" s="42" t="s">
        <v>37</v>
      </c>
      <c r="O16" s="42" t="s">
        <v>37</v>
      </c>
      <c r="P16" s="42" t="s">
        <v>37</v>
      </c>
      <c r="Q16" s="42" t="s">
        <v>37</v>
      </c>
      <c r="R16" s="42" t="s">
        <v>37</v>
      </c>
      <c r="S16" s="42" t="s">
        <v>37</v>
      </c>
      <c r="T16" s="42" t="s">
        <v>37</v>
      </c>
      <c r="U16" s="42" t="s">
        <v>37</v>
      </c>
      <c r="V16" s="42" t="s">
        <v>37</v>
      </c>
      <c r="W16" s="42" t="s">
        <v>37</v>
      </c>
      <c r="X16" s="42" t="s">
        <v>37</v>
      </c>
      <c r="Y16" s="42" t="s">
        <v>37</v>
      </c>
      <c r="Z16" s="42" t="s">
        <v>37</v>
      </c>
      <c r="AA16" s="42" t="s">
        <v>37</v>
      </c>
      <c r="AB16" s="42" t="s">
        <v>37</v>
      </c>
      <c r="AC16" s="42" t="s">
        <v>37</v>
      </c>
      <c r="AD16" s="42" t="s">
        <v>37</v>
      </c>
      <c r="AE16" s="42" t="s">
        <v>37</v>
      </c>
      <c r="AF16" s="42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1" t="s">
        <v>37</v>
      </c>
      <c r="D17" s="41" t="s">
        <v>37</v>
      </c>
      <c r="E17" s="41" t="s">
        <v>37</v>
      </c>
      <c r="F17" s="41" t="s">
        <v>37</v>
      </c>
      <c r="G17" s="41" t="s">
        <v>37</v>
      </c>
      <c r="H17" s="41" t="s">
        <v>37</v>
      </c>
      <c r="I17" s="41" t="s">
        <v>37</v>
      </c>
      <c r="J17" s="41" t="s">
        <v>37</v>
      </c>
      <c r="K17" s="41" t="s">
        <v>37</v>
      </c>
      <c r="L17" s="41" t="s">
        <v>37</v>
      </c>
      <c r="M17" s="41" t="s">
        <v>37</v>
      </c>
      <c r="N17" s="41" t="s">
        <v>37</v>
      </c>
      <c r="O17" s="41" t="s">
        <v>37</v>
      </c>
      <c r="P17" s="41" t="s">
        <v>37</v>
      </c>
      <c r="Q17" s="41" t="s">
        <v>37</v>
      </c>
      <c r="R17" s="41" t="s">
        <v>37</v>
      </c>
      <c r="S17" s="41" t="s">
        <v>37</v>
      </c>
      <c r="T17" s="41" t="s">
        <v>37</v>
      </c>
      <c r="U17" s="41" t="s">
        <v>37</v>
      </c>
      <c r="V17" s="41" t="s">
        <v>37</v>
      </c>
      <c r="W17" s="41" t="s">
        <v>37</v>
      </c>
      <c r="X17" s="41" t="s">
        <v>37</v>
      </c>
      <c r="Y17" s="41" t="s">
        <v>37</v>
      </c>
      <c r="Z17" s="41" t="s">
        <v>37</v>
      </c>
      <c r="AA17" s="41" t="s">
        <v>37</v>
      </c>
      <c r="AB17" s="41" t="s">
        <v>37</v>
      </c>
      <c r="AC17" s="41" t="s">
        <v>37</v>
      </c>
      <c r="AD17" s="41" t="s">
        <v>37</v>
      </c>
      <c r="AE17" s="41" t="s">
        <v>37</v>
      </c>
      <c r="AF17" s="41" t="s">
        <v>37</v>
      </c>
    </row>
    <row r="18" spans="1:51" s="2" customFormat="1" ht="23.4" x14ac:dyDescent="0.45">
      <c r="A18" s="20" t="s">
        <v>2</v>
      </c>
      <c r="C18" s="22">
        <f>COUNTIF(C53:C65,"=1")</f>
        <v>4</v>
      </c>
      <c r="D18" s="22">
        <f t="shared" ref="D18:Y18" si="8">COUNTIF(D53:D65,"=1")</f>
        <v>3</v>
      </c>
      <c r="E18" s="22">
        <f t="shared" si="8"/>
        <v>6</v>
      </c>
      <c r="F18" s="22">
        <f t="shared" si="8"/>
        <v>5</v>
      </c>
      <c r="G18" s="22">
        <f t="shared" si="8"/>
        <v>4</v>
      </c>
      <c r="H18" s="22">
        <f t="shared" si="8"/>
        <v>3</v>
      </c>
      <c r="I18" s="22">
        <f t="shared" si="8"/>
        <v>4</v>
      </c>
      <c r="J18" s="22">
        <f t="shared" si="8"/>
        <v>4</v>
      </c>
      <c r="K18" s="22">
        <f t="shared" si="8"/>
        <v>3</v>
      </c>
      <c r="L18" s="22">
        <f t="shared" si="8"/>
        <v>4</v>
      </c>
      <c r="M18" s="22">
        <f t="shared" si="8"/>
        <v>3</v>
      </c>
      <c r="N18" s="22">
        <f t="shared" si="8"/>
        <v>6</v>
      </c>
      <c r="O18" s="22">
        <f t="shared" ref="O18" si="9">COUNTIF(O53:O65,"=1")</f>
        <v>3</v>
      </c>
      <c r="P18" s="22">
        <f t="shared" si="8"/>
        <v>5</v>
      </c>
      <c r="Q18" s="22">
        <f t="shared" si="8"/>
        <v>4</v>
      </c>
      <c r="R18" s="22">
        <f t="shared" si="8"/>
        <v>7</v>
      </c>
      <c r="S18" s="22">
        <f t="shared" si="8"/>
        <v>6</v>
      </c>
      <c r="T18" s="22">
        <f t="shared" si="8"/>
        <v>3</v>
      </c>
      <c r="U18" s="22">
        <f t="shared" si="8"/>
        <v>5</v>
      </c>
      <c r="V18" s="22">
        <f t="shared" si="8"/>
        <v>3</v>
      </c>
      <c r="W18" s="22">
        <f t="shared" si="8"/>
        <v>4</v>
      </c>
      <c r="X18" s="22">
        <f t="shared" si="8"/>
        <v>2</v>
      </c>
      <c r="Y18" s="22">
        <f t="shared" si="8"/>
        <v>4</v>
      </c>
      <c r="Z18" s="22">
        <f t="shared" ref="Z18:AF18" si="10">COUNTIF(Z53:Z65,"=1")</f>
        <v>5</v>
      </c>
      <c r="AA18" s="22">
        <f t="shared" si="10"/>
        <v>8</v>
      </c>
      <c r="AB18" s="22">
        <f t="shared" ref="AB18" si="11">COUNTIF(AB53:AB65,"=1")</f>
        <v>5</v>
      </c>
      <c r="AC18" s="22">
        <f t="shared" si="10"/>
        <v>3</v>
      </c>
      <c r="AD18" s="22">
        <f t="shared" si="10"/>
        <v>3</v>
      </c>
      <c r="AE18" s="22">
        <f t="shared" si="10"/>
        <v>3</v>
      </c>
      <c r="AF18" s="22">
        <f t="shared" si="10"/>
        <v>3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0</v>
      </c>
      <c r="F54">
        <f t="shared" si="51"/>
        <v>0</v>
      </c>
      <c r="G54">
        <f t="shared" si="51"/>
        <v>0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0</v>
      </c>
      <c r="K55">
        <f t="shared" si="52"/>
        <v>0</v>
      </c>
      <c r="L55">
        <f t="shared" si="52"/>
        <v>0</v>
      </c>
      <c r="M55">
        <f t="shared" si="52"/>
        <v>0</v>
      </c>
      <c r="N55">
        <f t="shared" si="52"/>
        <v>1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1</v>
      </c>
      <c r="S55">
        <f t="shared" si="52"/>
        <v>1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1</v>
      </c>
      <c r="D56">
        <f t="shared" si="52"/>
        <v>0</v>
      </c>
      <c r="E56">
        <f t="shared" si="52"/>
        <v>1</v>
      </c>
      <c r="F56">
        <f t="shared" si="52"/>
        <v>0</v>
      </c>
      <c r="G56">
        <f t="shared" si="52"/>
        <v>0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1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1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1</v>
      </c>
      <c r="U56">
        <f t="shared" si="52"/>
        <v>1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1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1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1</v>
      </c>
      <c r="K57">
        <f t="shared" si="52"/>
        <v>0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1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1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1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1</v>
      </c>
      <c r="H58">
        <f t="shared" si="52"/>
        <v>1</v>
      </c>
      <c r="I58">
        <f t="shared" si="52"/>
        <v>0</v>
      </c>
      <c r="J58">
        <f t="shared" si="52"/>
        <v>0</v>
      </c>
      <c r="K58">
        <f t="shared" si="52"/>
        <v>0</v>
      </c>
      <c r="L58">
        <f t="shared" si="52"/>
        <v>1</v>
      </c>
      <c r="M58">
        <f t="shared" si="52"/>
        <v>1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1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1</v>
      </c>
      <c r="Y58">
        <f t="shared" si="52"/>
        <v>1</v>
      </c>
      <c r="Z58">
        <f t="shared" si="52"/>
        <v>1</v>
      </c>
      <c r="AA58">
        <f t="shared" si="52"/>
        <v>0</v>
      </c>
      <c r="AB58">
        <f t="shared" si="52"/>
        <v>0</v>
      </c>
      <c r="AC58">
        <f t="shared" si="52"/>
        <v>1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1</v>
      </c>
      <c r="G59">
        <f t="shared" si="53"/>
        <v>0</v>
      </c>
      <c r="H59">
        <f t="shared" si="53"/>
        <v>1</v>
      </c>
      <c r="I59">
        <f t="shared" si="53"/>
        <v>1</v>
      </c>
      <c r="J59">
        <f t="shared" si="53"/>
        <v>1</v>
      </c>
      <c r="K59">
        <f t="shared" si="53"/>
        <v>0</v>
      </c>
      <c r="L59">
        <f t="shared" si="53"/>
        <v>1</v>
      </c>
      <c r="M59">
        <f t="shared" si="53"/>
        <v>1</v>
      </c>
      <c r="N59">
        <f t="shared" si="53"/>
        <v>1</v>
      </c>
      <c r="O59">
        <f t="shared" si="53"/>
        <v>0</v>
      </c>
      <c r="P59">
        <f t="shared" si="53"/>
        <v>1</v>
      </c>
      <c r="Q59">
        <f t="shared" si="53"/>
        <v>1</v>
      </c>
      <c r="R59">
        <f t="shared" si="53"/>
        <v>1</v>
      </c>
      <c r="S59">
        <f t="shared" si="53"/>
        <v>1</v>
      </c>
      <c r="T59">
        <f t="shared" si="53"/>
        <v>0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1</v>
      </c>
      <c r="AA59">
        <f t="shared" si="53"/>
        <v>1</v>
      </c>
      <c r="AB59">
        <f t="shared" si="53"/>
        <v>1</v>
      </c>
      <c r="AC59">
        <f t="shared" si="53"/>
        <v>0</v>
      </c>
      <c r="AD59">
        <f t="shared" si="53"/>
        <v>0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0</v>
      </c>
      <c r="F60">
        <f t="shared" si="53"/>
        <v>1</v>
      </c>
      <c r="G60">
        <f t="shared" si="53"/>
        <v>0</v>
      </c>
      <c r="H60">
        <f t="shared" si="53"/>
        <v>0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0</v>
      </c>
      <c r="M60">
        <f t="shared" si="53"/>
        <v>0</v>
      </c>
      <c r="N60">
        <f t="shared" si="53"/>
        <v>1</v>
      </c>
      <c r="O60">
        <f t="shared" si="53"/>
        <v>0</v>
      </c>
      <c r="P60">
        <f t="shared" si="53"/>
        <v>0</v>
      </c>
      <c r="Q60">
        <f t="shared" si="53"/>
        <v>1</v>
      </c>
      <c r="R60">
        <f t="shared" si="53"/>
        <v>1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1</v>
      </c>
      <c r="Z60">
        <f t="shared" si="53"/>
        <v>1</v>
      </c>
      <c r="AA60">
        <f t="shared" si="53"/>
        <v>1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1</v>
      </c>
      <c r="F61">
        <f t="shared" si="53"/>
        <v>0</v>
      </c>
      <c r="G61">
        <f t="shared" si="53"/>
        <v>0</v>
      </c>
      <c r="H61">
        <f t="shared" si="53"/>
        <v>0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1</v>
      </c>
      <c r="X61">
        <f t="shared" si="53"/>
        <v>0</v>
      </c>
      <c r="Y61">
        <f t="shared" si="53"/>
        <v>0</v>
      </c>
      <c r="Z61">
        <f t="shared" si="53"/>
        <v>1</v>
      </c>
      <c r="AA61">
        <f t="shared" si="53"/>
        <v>1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1</v>
      </c>
      <c r="E62">
        <f t="shared" si="53"/>
        <v>1</v>
      </c>
      <c r="F62">
        <f t="shared" si="53"/>
        <v>1</v>
      </c>
      <c r="G62">
        <f t="shared" si="53"/>
        <v>1</v>
      </c>
      <c r="H62">
        <f t="shared" si="53"/>
        <v>0</v>
      </c>
      <c r="I62">
        <f t="shared" si="53"/>
        <v>0</v>
      </c>
      <c r="J62">
        <f t="shared" si="53"/>
        <v>1</v>
      </c>
      <c r="K62">
        <f t="shared" si="53"/>
        <v>1</v>
      </c>
      <c r="L62">
        <f t="shared" si="53"/>
        <v>0</v>
      </c>
      <c r="M62">
        <f t="shared" si="53"/>
        <v>0</v>
      </c>
      <c r="N62">
        <f t="shared" si="53"/>
        <v>1</v>
      </c>
      <c r="O62">
        <f t="shared" si="53"/>
        <v>1</v>
      </c>
      <c r="P62">
        <f t="shared" si="53"/>
        <v>0</v>
      </c>
      <c r="Q62">
        <f t="shared" si="53"/>
        <v>0</v>
      </c>
      <c r="R62">
        <f t="shared" si="53"/>
        <v>1</v>
      </c>
      <c r="S62">
        <f t="shared" si="53"/>
        <v>1</v>
      </c>
      <c r="T62">
        <f t="shared" si="53"/>
        <v>0</v>
      </c>
      <c r="U62">
        <f t="shared" si="53"/>
        <v>0</v>
      </c>
      <c r="V62">
        <f t="shared" si="53"/>
        <v>1</v>
      </c>
      <c r="W62">
        <f t="shared" si="53"/>
        <v>1</v>
      </c>
      <c r="X62">
        <f t="shared" si="53"/>
        <v>1</v>
      </c>
      <c r="Y62">
        <f t="shared" si="53"/>
        <v>0</v>
      </c>
      <c r="Z62">
        <f t="shared" si="53"/>
        <v>0</v>
      </c>
      <c r="AA62">
        <f t="shared" si="53"/>
        <v>1</v>
      </c>
      <c r="AB62">
        <f t="shared" si="53"/>
        <v>0</v>
      </c>
      <c r="AC62">
        <f t="shared" si="53"/>
        <v>0</v>
      </c>
      <c r="AD62">
        <f t="shared" si="53"/>
        <v>1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1</v>
      </c>
      <c r="E63">
        <f t="shared" si="54"/>
        <v>1</v>
      </c>
      <c r="F63">
        <f t="shared" si="54"/>
        <v>0</v>
      </c>
      <c r="G63">
        <f t="shared" si="54"/>
        <v>0</v>
      </c>
      <c r="H63">
        <f t="shared" si="54"/>
        <v>0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1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1</v>
      </c>
      <c r="Q63">
        <f t="shared" si="54"/>
        <v>1</v>
      </c>
      <c r="R63">
        <f t="shared" si="54"/>
        <v>0</v>
      </c>
      <c r="S63">
        <f t="shared" si="54"/>
        <v>1</v>
      </c>
      <c r="T63">
        <f t="shared" si="54"/>
        <v>1</v>
      </c>
      <c r="U63">
        <f t="shared" si="54"/>
        <v>1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1</v>
      </c>
      <c r="Z63">
        <f t="shared" si="54"/>
        <v>1</v>
      </c>
      <c r="AA63">
        <f t="shared" si="54"/>
        <v>1</v>
      </c>
      <c r="AB63">
        <f t="shared" si="54"/>
        <v>1</v>
      </c>
      <c r="AC63">
        <f t="shared" si="54"/>
        <v>1</v>
      </c>
      <c r="AD63">
        <f t="shared" si="54"/>
        <v>0</v>
      </c>
      <c r="AE63">
        <f t="shared" si="54"/>
        <v>1</v>
      </c>
      <c r="AF63">
        <f t="shared" si="54"/>
        <v>1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1</v>
      </c>
      <c r="D64">
        <f t="shared" si="54"/>
        <v>0</v>
      </c>
      <c r="E64">
        <f t="shared" si="54"/>
        <v>1</v>
      </c>
      <c r="F64">
        <f t="shared" si="54"/>
        <v>0</v>
      </c>
      <c r="G64">
        <f t="shared" si="54"/>
        <v>1</v>
      </c>
      <c r="H64">
        <f t="shared" si="54"/>
        <v>0</v>
      </c>
      <c r="I64">
        <f t="shared" si="54"/>
        <v>1</v>
      </c>
      <c r="J64">
        <f t="shared" si="54"/>
        <v>1</v>
      </c>
      <c r="K64">
        <f t="shared" si="54"/>
        <v>1</v>
      </c>
      <c r="L64">
        <f t="shared" si="54"/>
        <v>0</v>
      </c>
      <c r="M64">
        <f t="shared" si="54"/>
        <v>0</v>
      </c>
      <c r="N64">
        <f t="shared" si="54"/>
        <v>1</v>
      </c>
      <c r="O64">
        <f t="shared" si="54"/>
        <v>0</v>
      </c>
      <c r="P64">
        <f t="shared" si="54"/>
        <v>1</v>
      </c>
      <c r="Q64">
        <f t="shared" si="54"/>
        <v>0</v>
      </c>
      <c r="R64">
        <f t="shared" si="54"/>
        <v>1</v>
      </c>
      <c r="S64">
        <f t="shared" si="54"/>
        <v>1</v>
      </c>
      <c r="T64">
        <f t="shared" si="54"/>
        <v>0</v>
      </c>
      <c r="U64">
        <f t="shared" si="54"/>
        <v>1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1</v>
      </c>
      <c r="AB64">
        <f t="shared" si="54"/>
        <v>1</v>
      </c>
      <c r="AC64">
        <f t="shared" si="54"/>
        <v>0</v>
      </c>
      <c r="AD64">
        <f t="shared" si="54"/>
        <v>1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0</v>
      </c>
      <c r="E65">
        <f t="shared" si="54"/>
        <v>0</v>
      </c>
      <c r="F65">
        <f t="shared" si="54"/>
        <v>0</v>
      </c>
      <c r="G65">
        <f t="shared" si="54"/>
        <v>0</v>
      </c>
      <c r="H65">
        <f t="shared" si="54"/>
        <v>0</v>
      </c>
      <c r="I65">
        <f t="shared" si="54"/>
        <v>1</v>
      </c>
      <c r="J65">
        <f t="shared" si="54"/>
        <v>0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0</v>
      </c>
      <c r="W65">
        <f t="shared" si="54"/>
        <v>1</v>
      </c>
      <c r="X65">
        <f t="shared" si="54"/>
        <v>0</v>
      </c>
      <c r="Y65">
        <f t="shared" si="54"/>
        <v>1</v>
      </c>
      <c r="Z65">
        <f t="shared" si="54"/>
        <v>0</v>
      </c>
      <c r="AA65">
        <f t="shared" si="54"/>
        <v>0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9" operator="equal">
      <formula>"erro"</formula>
    </cfRule>
  </conditionalFormatting>
  <conditionalFormatting sqref="A18">
    <cfRule type="cellIs" dxfId="4" priority="8" operator="equal">
      <formula>"erro"</formula>
    </cfRule>
  </conditionalFormatting>
  <conditionalFormatting sqref="B1 B15:B1048576">
    <cfRule type="cellIs" dxfId="3" priority="1" operator="equal">
      <formula>"erro"</formula>
    </cfRule>
  </conditionalFormatting>
  <conditionalFormatting sqref="B18:XFD18">
    <cfRule type="cellIs" dxfId="2" priority="310" stopIfTrue="1" operator="greaterThan">
      <formula>9</formula>
    </cfRule>
  </conditionalFormatting>
  <conditionalFormatting sqref="C18:AF18">
    <cfRule type="cellIs" dxfId="1" priority="4" operator="equal">
      <formula>9</formula>
    </cfRule>
  </conditionalFormatting>
  <conditionalFormatting sqref="AG2:AT14">
    <cfRule type="cellIs" dxfId="0" priority="10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C13" sqref="C13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8" t="s">
        <v>31</v>
      </c>
      <c r="U1" s="48"/>
      <c r="V1" s="48"/>
      <c r="W1" s="48"/>
      <c r="X1" s="38" t="s">
        <v>33</v>
      </c>
      <c r="Y1" s="40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8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2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39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39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</row>
    <row r="10" spans="1:25" ht="18" x14ac:dyDescent="0.35">
      <c r="A10" s="29" t="s">
        <v>47</v>
      </c>
      <c r="B10" s="31">
        <v>0</v>
      </c>
      <c r="C10" s="31">
        <v>0</v>
      </c>
      <c r="D10" s="31">
        <f t="shared" si="3"/>
        <v>-0.375</v>
      </c>
      <c r="E10" s="31">
        <f t="shared" si="3"/>
        <v>-0.375</v>
      </c>
      <c r="F10" s="31">
        <f t="shared" si="3"/>
        <v>-0.375</v>
      </c>
      <c r="G10" s="31">
        <f t="shared" si="3"/>
        <v>-0.375</v>
      </c>
      <c r="H10" s="31">
        <f t="shared" si="3"/>
        <v>-0.3</v>
      </c>
      <c r="I10" s="31">
        <f t="shared" si="3"/>
        <v>-0.15</v>
      </c>
      <c r="J10" s="31">
        <f t="shared" si="3"/>
        <v>-0.15</v>
      </c>
      <c r="K10" s="31">
        <f t="shared" si="3"/>
        <v>-0.15</v>
      </c>
      <c r="L10" s="31">
        <f t="shared" si="3"/>
        <v>-0.15</v>
      </c>
      <c r="M10" s="31">
        <f t="shared" si="3"/>
        <v>-0.15</v>
      </c>
      <c r="N10" s="31">
        <f t="shared" si="1"/>
        <v>-0.15</v>
      </c>
      <c r="O10" s="31">
        <f t="shared" si="1"/>
        <v>-0.15</v>
      </c>
      <c r="P10" s="25">
        <f t="shared" si="4"/>
        <v>-2.8499999999999996</v>
      </c>
      <c r="Q10" s="31">
        <v>15</v>
      </c>
      <c r="R10" s="31">
        <v>0</v>
      </c>
      <c r="S10" s="31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4" t="s">
        <v>48</v>
      </c>
      <c r="Y10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1">
        <f t="shared" si="1"/>
        <v>-0.05</v>
      </c>
      <c r="O11" s="31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4">
        <v>6</v>
      </c>
    </row>
    <row r="12" spans="1:25" ht="18" x14ac:dyDescent="0.35">
      <c r="A12" s="29" t="s">
        <v>51</v>
      </c>
      <c r="B12" s="31">
        <v>0</v>
      </c>
      <c r="C12" s="31">
        <v>0</v>
      </c>
      <c r="D12" s="31">
        <f t="shared" si="3"/>
        <v>-0.375</v>
      </c>
      <c r="E12" s="31">
        <f t="shared" si="3"/>
        <v>-0.375</v>
      </c>
      <c r="F12" s="31">
        <f t="shared" si="3"/>
        <v>-0.375</v>
      </c>
      <c r="G12" s="31">
        <f t="shared" si="3"/>
        <v>-0.375</v>
      </c>
      <c r="H12" s="31">
        <f t="shared" si="3"/>
        <v>-0.3</v>
      </c>
      <c r="I12" s="31">
        <f t="shared" si="3"/>
        <v>-0.15</v>
      </c>
      <c r="J12" s="31">
        <f t="shared" si="3"/>
        <v>-0.15</v>
      </c>
      <c r="K12" s="31">
        <f t="shared" si="3"/>
        <v>-0.15</v>
      </c>
      <c r="L12" s="31">
        <f t="shared" si="3"/>
        <v>-0.15</v>
      </c>
      <c r="M12" s="31">
        <f t="shared" si="3"/>
        <v>-0.15</v>
      </c>
      <c r="N12" s="31">
        <f t="shared" si="1"/>
        <v>-0.15</v>
      </c>
      <c r="O12" s="31">
        <f t="shared" si="1"/>
        <v>-0.15</v>
      </c>
      <c r="P12" s="25">
        <f t="shared" si="4"/>
        <v>-2.8499999999999996</v>
      </c>
      <c r="Q12" s="31">
        <v>15</v>
      </c>
      <c r="R12" s="31">
        <v>0</v>
      </c>
      <c r="S12" s="31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4">
        <v>8</v>
      </c>
    </row>
    <row r="13" spans="1:25" ht="18" x14ac:dyDescent="0.35">
      <c r="A13" s="29"/>
      <c r="B13" s="24">
        <f t="shared" ref="B13:B16" si="5">($Q13*$B$2/100*-1)+($R13*$B$2/100)</f>
        <v>0</v>
      </c>
      <c r="C13" s="24">
        <f t="shared" si="3"/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31">
        <f t="shared" si="1"/>
        <v>0</v>
      </c>
      <c r="O13" s="31">
        <f t="shared" si="1"/>
        <v>0</v>
      </c>
      <c r="P13" s="25">
        <f t="shared" si="4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5"/>
        <v>0</v>
      </c>
      <c r="C14" s="31">
        <f t="shared" si="3"/>
        <v>0</v>
      </c>
      <c r="D14" s="31">
        <f t="shared" si="3"/>
        <v>0</v>
      </c>
      <c r="E14" s="31">
        <f t="shared" si="3"/>
        <v>0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1"/>
        <v>0</v>
      </c>
      <c r="O14" s="31">
        <f t="shared" si="1"/>
        <v>0</v>
      </c>
      <c r="P14" s="25">
        <f t="shared" si="4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5"/>
        <v>0</v>
      </c>
      <c r="C15" s="24">
        <f t="shared" si="3"/>
        <v>0</v>
      </c>
      <c r="D15" s="24">
        <f t="shared" si="3"/>
        <v>0</v>
      </c>
      <c r="E15" s="24">
        <f t="shared" si="3"/>
        <v>0</v>
      </c>
      <c r="F15" s="24">
        <f t="shared" si="3"/>
        <v>0</v>
      </c>
      <c r="G15" s="24">
        <f t="shared" si="3"/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31">
        <f t="shared" si="1"/>
        <v>0</v>
      </c>
      <c r="O15" s="31">
        <f t="shared" si="1"/>
        <v>0</v>
      </c>
      <c r="P15" s="25">
        <f t="shared" si="4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5"/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6">SUM(C3:C15)</f>
        <v>0</v>
      </c>
      <c r="D17" s="25">
        <f t="shared" si="6"/>
        <v>-3.125</v>
      </c>
      <c r="E17" s="25">
        <f t="shared" si="6"/>
        <v>-3.125</v>
      </c>
      <c r="F17" s="25">
        <f t="shared" si="6"/>
        <v>-3.125</v>
      </c>
      <c r="G17" s="25">
        <f t="shared" si="6"/>
        <v>-3.125</v>
      </c>
      <c r="H17" s="25">
        <f t="shared" si="6"/>
        <v>-2.5</v>
      </c>
      <c r="I17" s="25">
        <f t="shared" si="6"/>
        <v>-1.25</v>
      </c>
      <c r="J17" s="25">
        <f t="shared" si="6"/>
        <v>-1.25</v>
      </c>
      <c r="K17" s="25">
        <f t="shared" si="6"/>
        <v>-1.25</v>
      </c>
      <c r="L17" s="25">
        <f t="shared" si="6"/>
        <v>-1.25</v>
      </c>
      <c r="M17" s="25">
        <f t="shared" si="6"/>
        <v>-1.25</v>
      </c>
      <c r="N17" s="25">
        <f t="shared" si="6"/>
        <v>-1.25</v>
      </c>
      <c r="O17" s="25">
        <f t="shared" si="6"/>
        <v>-1.25</v>
      </c>
      <c r="P17" s="25">
        <f>SUM(B17:O17)</f>
        <v>-23.75</v>
      </c>
      <c r="Q17" s="24">
        <f>SUM(Q3:Q16)</f>
        <v>125</v>
      </c>
      <c r="R17" s="24">
        <f>SUM(R3:R16)</f>
        <v>0</v>
      </c>
      <c r="S17" s="24">
        <f t="shared" ref="S17" si="7">R17-Q17</f>
        <v>-125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2026-03-09T08:13:05Z</dcterms:modified>
</cp:coreProperties>
</file>