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F2DF5152-1EE1-4001-B9F1-71648CB006E7}" xr6:coauthVersionLast="47" xr6:coauthVersionMax="47" xr10:uidLastSave="{00000000-0000-0000-0000-000000000000}"/>
  <bookViews>
    <workbookView xWindow="-108" yWindow="-108" windowWidth="23256" windowHeight="12456" activeTab="1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4" l="1"/>
  <c r="S10" i="4"/>
  <c r="S9" i="4"/>
  <c r="S8" i="4"/>
  <c r="S7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G22" i="3" l="1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P15" i="4"/>
  <c r="P3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3" i="4"/>
  <c r="O3" i="4"/>
  <c r="N4" i="4"/>
  <c r="O4" i="4"/>
  <c r="P2" i="4"/>
  <c r="S3" i="4"/>
  <c r="R17" i="4"/>
  <c r="Q17" i="4"/>
  <c r="B12" i="4"/>
  <c r="B13" i="4"/>
  <c r="B14" i="4"/>
  <c r="B15" i="4"/>
  <c r="B16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P7" i="4" s="1"/>
  <c r="E7" i="4"/>
  <c r="F7" i="4"/>
  <c r="G7" i="4"/>
  <c r="H7" i="4"/>
  <c r="I7" i="4"/>
  <c r="J7" i="4"/>
  <c r="K7" i="4"/>
  <c r="L7" i="4"/>
  <c r="M7" i="4"/>
  <c r="D8" i="4"/>
  <c r="E8" i="4"/>
  <c r="F8" i="4"/>
  <c r="P8" i="4" s="1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D10" i="4"/>
  <c r="E10" i="4"/>
  <c r="F10" i="4"/>
  <c r="G10" i="4"/>
  <c r="H10" i="4"/>
  <c r="I10" i="4"/>
  <c r="J10" i="4"/>
  <c r="K10" i="4"/>
  <c r="L10" i="4"/>
  <c r="M10" i="4"/>
  <c r="D11" i="4"/>
  <c r="E11" i="4"/>
  <c r="F11" i="4"/>
  <c r="G11" i="4"/>
  <c r="H11" i="4"/>
  <c r="I11" i="4"/>
  <c r="J11" i="4"/>
  <c r="K11" i="4"/>
  <c r="L11" i="4"/>
  <c r="M11" i="4"/>
  <c r="C12" i="4"/>
  <c r="P12" i="4" s="1"/>
  <c r="D12" i="4"/>
  <c r="E12" i="4"/>
  <c r="F12" i="4"/>
  <c r="G12" i="4"/>
  <c r="H12" i="4"/>
  <c r="I12" i="4"/>
  <c r="J12" i="4"/>
  <c r="K12" i="4"/>
  <c r="L12" i="4"/>
  <c r="M12" i="4"/>
  <c r="C13" i="4"/>
  <c r="P13" i="4" s="1"/>
  <c r="D13" i="4"/>
  <c r="E13" i="4"/>
  <c r="F13" i="4"/>
  <c r="G13" i="4"/>
  <c r="H13" i="4"/>
  <c r="I13" i="4"/>
  <c r="J13" i="4"/>
  <c r="K13" i="4"/>
  <c r="L13" i="4"/>
  <c r="M13" i="4"/>
  <c r="C14" i="4"/>
  <c r="P14" i="4" s="1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P16" i="4" s="1"/>
  <c r="D16" i="4"/>
  <c r="E16" i="4"/>
  <c r="F16" i="4"/>
  <c r="G16" i="4"/>
  <c r="H16" i="4"/>
  <c r="I16" i="4"/>
  <c r="J16" i="4"/>
  <c r="K16" i="4"/>
  <c r="L16" i="4"/>
  <c r="M16" i="4"/>
  <c r="D4" i="4"/>
  <c r="P4" i="4" s="1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11" i="4" l="1"/>
  <c r="P9" i="4"/>
  <c r="J18" i="3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O17" i="4"/>
  <c r="N17" i="4"/>
  <c r="P10" i="4"/>
  <c r="S17" i="4"/>
  <c r="J17" i="4"/>
  <c r="H17" i="4"/>
  <c r="F17" i="4"/>
  <c r="G17" i="4"/>
  <c r="M17" i="4"/>
  <c r="E17" i="4"/>
  <c r="B17" i="4"/>
  <c r="K17" i="4"/>
  <c r="C17" i="4"/>
  <c r="D17" i="4"/>
  <c r="L17" i="4"/>
  <c r="I17" i="4"/>
  <c r="P17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<sst xmlns="http://schemas.openxmlformats.org/spreadsheetml/2006/main" count="292" uniqueCount="64">
  <si>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</si>
  <si>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</si>
  <si>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</si>
  <si>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</si>
  <si>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</si>
  <si>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</si>
  <si>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</si>
  <si>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</si>
  <si>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</si>
  <si>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</si>
  <si>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</si>
  <si>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</si>
  <si>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</si>
  <si>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</si>
  <si>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</si>
  <si>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</si>
  <si>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</si>
  <si>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</si>
  <si>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</si>
  <si>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</si>
  <si>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</si>
  <si>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</si>
  <si>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</si>
  <si>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</si>
  <si>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</si>
  <si>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</si>
  <si>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</si>
  <si>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</si>
  <si>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</si>
  <si>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</si>
  <si>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</si>
  <si>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</si>
  <si>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</si>
  <si>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</si>
  <si>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</si>
  <si>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</si>
  <si>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</si>
  <si>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</si>
  <si>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</si>
  <si>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</si>
  <si>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</si>
  <si>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x</t>
  </si>
  <si>
    <t>SEMANA -&gt;5</t>
  </si>
  <si>
    <t>2*8</t>
  </si>
  <si>
    <t>SEMANA -&gt;6</t>
  </si>
  <si>
    <t>4*7</t>
  </si>
  <si>
    <t>SEMANA -&gt;7</t>
  </si>
  <si>
    <t>SEMANA -&gt;8</t>
  </si>
  <si>
    <t>2*10</t>
  </si>
  <si>
    <t>14=3500</t>
  </si>
  <si>
    <t>SEMANA -&gt;9</t>
  </si>
  <si>
    <t>1 AFS-E. Amadora</t>
  </si>
  <si>
    <t>2 Nacional-Sp. Braga</t>
  </si>
  <si>
    <t>3 V. Guimarães-FC Alverca</t>
  </si>
  <si>
    <t>4 Tondela-Santa Clara</t>
  </si>
  <si>
    <t>5 Casa Pia AC-Moreirense</t>
  </si>
  <si>
    <t>6 Rio Ave-FC Famalicão</t>
  </si>
  <si>
    <t>7 Ac. Viseu-Marítimo</t>
  </si>
  <si>
    <t>8 V. Guimarães B-Varzim</t>
  </si>
  <si>
    <t>9 Académica-UD Santarém</t>
  </si>
  <si>
    <t>10 Real Bétis-Sevilha</t>
  </si>
  <si>
    <t>11 Bor. Dortmund-Bayern Munique</t>
  </si>
  <si>
    <t>12 AS Roma-Juventus</t>
  </si>
  <si>
    <t>13 Marselha-Lyon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</si>
</sst>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7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12" borderId="1" xfId="0" applyFont="1" applyFill="1" applyBorder="1"/>
    <xf numFmtId="49" fontId="1" fillId="3" borderId="1" xfId="0" applyNumberFormat="1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workbookViewId="0">
      <pane xSplit="1" topLeftCell="B1" activePane="topRight" state="frozen"/>
      <selection pane="topRight" activeCell="B2" sqref="B2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6" t="s">
        <v>0</v>
      </c>
      <c r="I1" s="37">
        <f>COUNTIF($C$18:$AY$18,13)</f>
        <v>0</v>
      </c>
      <c r="J1" s="37">
        <f>COUNTIF($C$18:$AY$18,12)</f>
        <v>0</v>
      </c>
      <c r="K1" s="37">
        <f>COUNTIF($C$18:$AY$18,11)</f>
        <v>0</v>
      </c>
      <c r="L1" s="37">
        <f>COUNTIF($C$18:$AY$18,10)</f>
        <v>0</v>
      </c>
      <c r="M1" s="37">
        <f>COUNTIF($C$18:$AY$18,9)</f>
        <v>0</v>
      </c>
      <c r="N1" s="37">
        <f>COUNTIF($C$18:$AY$18,8)</f>
        <v>0</v>
      </c>
      <c r="O1" s="37">
        <f>COUNTIF($C$18:$AY$18,7)</f>
        <v>0</v>
      </c>
      <c r="P1" s="37">
        <f>COUNTIF($C$18:$AY$18,6)</f>
        <v>1</v>
      </c>
      <c r="Q1" s="37">
        <f>COUNTIF($C$18:$AY$18,5)</f>
        <v>2</v>
      </c>
      <c r="R1" s="37">
        <f>COUNTIF($C$18:$AY$18,4)</f>
        <v>3</v>
      </c>
      <c r="S1" s="37">
        <f>COUNTIF($C$18:$AY$18,3)</f>
        <v>2</v>
      </c>
      <c r="T1" s="37">
        <f>COUNTIF($C$18:$AY$18,2)</f>
        <v>2</v>
      </c>
      <c r="U1" s="37">
        <f>COUNTIF($C$18:$AY$18,1)</f>
        <v>0</v>
      </c>
      <c r="V1" s="37">
        <f>COUNTIF($C$18:$AY$18,0)</f>
        <v>20</v>
      </c>
      <c r="AW1" s="4"/>
    </row>
    <row r="2" spans="1:111" s="4" customFormat="1" ht="20.399999999999999" customHeight="1" x14ac:dyDescent="0.4">
      <c r="A2" s="45" t="s">
        <v>51</v>
      </c>
      <c r="B2" s="46" t="s">
        <v>41</v>
      </c>
      <c r="C2" s="33" t="s">
        <v>3</v>
      </c>
      <c r="D2" s="33" t="s">
        <v>3</v>
      </c>
      <c r="E2" s="33" t="s">
        <v>3</v>
      </c>
      <c r="F2" s="33" t="s">
        <v>4</v>
      </c>
      <c r="G2" s="33" t="s">
        <v>4</v>
      </c>
      <c r="H2" s="33" t="s">
        <v>4</v>
      </c>
      <c r="I2" s="33" t="s">
        <v>4</v>
      </c>
      <c r="J2" s="33" t="s">
        <v>4</v>
      </c>
      <c r="K2" s="33" t="s">
        <v>4</v>
      </c>
      <c r="L2" s="33" t="s">
        <v>4</v>
      </c>
      <c r="M2" s="33"/>
      <c r="N2" s="33"/>
      <c r="O2" s="33"/>
      <c r="P2" s="33"/>
      <c r="Q2" s="33"/>
      <c r="R2" s="35"/>
      <c r="S2" s="35"/>
      <c r="T2" s="35"/>
      <c r="U2" s="35"/>
      <c r="V2" s="35"/>
      <c r="W2" s="35"/>
      <c r="X2" s="35"/>
      <c r="Y2" s="1"/>
      <c r="Z2" s="1"/>
      <c r="AA2" s="1"/>
      <c r="AB2" s="1"/>
      <c r="AC2" s="1"/>
      <c r="AD2" s="1"/>
      <c r="AE2" s="1"/>
      <c r="AF2" s="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1"/>
      <c r="BA2" s="8">
        <f t="shared" ref="BA2:BA14" si="0">COUNTIF(C2:AY2,1)</f>
        <v>7</v>
      </c>
      <c r="BB2" s="8">
        <f t="shared" ref="BB2:BB14" si="1">COUNTIF(C2:AY2,"x")</f>
        <v>0</v>
      </c>
      <c r="BC2" s="8">
        <f t="shared" ref="BC2:BC14" si="2">COUNTIF(C2:AY2,2)</f>
        <v>3</v>
      </c>
      <c r="BD2" s="6">
        <f>BA2+BB2+BC2</f>
        <v>10</v>
      </c>
      <c r="BE2" s="9">
        <f>BA2/$BD$2*100</f>
        <v>70</v>
      </c>
      <c r="BF2" s="9">
        <f t="shared" ref="BF2:BG2" si="3">BB2/$BD$2*100</f>
        <v>0</v>
      </c>
      <c r="BG2" s="9">
        <f t="shared" si="3"/>
        <v>30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45" t="s">
        <v>52</v>
      </c>
      <c r="B3" s="46" t="s">
        <v>3</v>
      </c>
      <c r="C3" s="33" t="s">
        <v>4</v>
      </c>
      <c r="D3" s="33" t="s">
        <v>4</v>
      </c>
      <c r="E3" s="33" t="s">
        <v>4</v>
      </c>
      <c r="F3" s="33" t="s">
        <v>29</v>
      </c>
      <c r="G3" s="33" t="s">
        <v>29</v>
      </c>
      <c r="H3" s="33" t="s">
        <v>29</v>
      </c>
      <c r="I3" s="33" t="s">
        <v>3</v>
      </c>
      <c r="J3" s="33" t="s">
        <v>3</v>
      </c>
      <c r="K3" s="33" t="s">
        <v>3</v>
      </c>
      <c r="L3" s="33" t="s">
        <v>3</v>
      </c>
      <c r="M3" s="33"/>
      <c r="N3" s="33"/>
      <c r="O3" s="33"/>
      <c r="P3" s="33"/>
      <c r="Q3" s="33"/>
      <c r="R3" s="35"/>
      <c r="S3" s="35"/>
      <c r="T3" s="35"/>
      <c r="U3" s="35"/>
      <c r="V3" s="35"/>
      <c r="W3" s="35"/>
      <c r="X3" s="35"/>
      <c r="Y3" s="1"/>
      <c r="Z3" s="1"/>
      <c r="AA3" s="1"/>
      <c r="AB3" s="1"/>
      <c r="AC3" s="1"/>
      <c r="AD3" s="1"/>
      <c r="AE3" s="1"/>
      <c r="AF3" s="1"/>
      <c r="AG3" s="31"/>
      <c r="AH3" s="31"/>
      <c r="AI3" s="31"/>
      <c r="AJ3" s="31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19"/>
      <c r="BA3" s="14">
        <f t="shared" si="0"/>
        <v>3</v>
      </c>
      <c r="BB3" s="14">
        <f t="shared" si="1"/>
        <v>3</v>
      </c>
      <c r="BC3" s="14">
        <f t="shared" si="2"/>
        <v>4</v>
      </c>
      <c r="BD3" s="6">
        <f t="shared" ref="BD3:BD14" si="4">BA3+BB3+BC3</f>
        <v>10</v>
      </c>
      <c r="BE3" s="9">
        <f t="shared" ref="BE3:BE14" si="5">BA3/$BD$2*100</f>
        <v>30</v>
      </c>
      <c r="BF3" s="9">
        <f t="shared" ref="BF3:BF14" si="6">BB3/$BD$2*100</f>
        <v>30</v>
      </c>
      <c r="BG3" s="9">
        <f t="shared" ref="BG3:BG14" si="7">BC3/$BD$2*100</f>
        <v>40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45" t="s">
        <v>53</v>
      </c>
      <c r="B4" s="46" t="s">
        <v>41</v>
      </c>
      <c r="C4" s="33" t="s">
        <v>4</v>
      </c>
      <c r="D4" s="33" t="s">
        <v>4</v>
      </c>
      <c r="E4" s="33" t="s">
        <v>4</v>
      </c>
      <c r="F4" s="33" t="s">
        <v>4</v>
      </c>
      <c r="G4" s="33" t="s">
        <v>4</v>
      </c>
      <c r="H4" s="33" t="s">
        <v>4</v>
      </c>
      <c r="I4" s="33" t="s">
        <v>29</v>
      </c>
      <c r="J4" s="33" t="s">
        <v>29</v>
      </c>
      <c r="K4" s="33" t="s">
        <v>4</v>
      </c>
      <c r="L4" s="33" t="s">
        <v>4</v>
      </c>
      <c r="M4" s="33"/>
      <c r="N4" s="33"/>
      <c r="O4" s="33"/>
      <c r="P4" s="33"/>
      <c r="Q4" s="33"/>
      <c r="R4" s="35"/>
      <c r="S4" s="35"/>
      <c r="T4" s="35"/>
      <c r="U4" s="35"/>
      <c r="V4" s="35"/>
      <c r="W4" s="35"/>
      <c r="X4" s="35"/>
      <c r="Y4" s="1"/>
      <c r="Z4" s="1"/>
      <c r="AA4" s="1"/>
      <c r="AB4" s="1"/>
      <c r="AC4" s="1"/>
      <c r="AD4" s="1"/>
      <c r="AE4" s="1"/>
      <c r="AF4" s="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1"/>
      <c r="BA4" s="8">
        <f t="shared" si="0"/>
        <v>8</v>
      </c>
      <c r="BB4" s="8">
        <f t="shared" si="1"/>
        <v>2</v>
      </c>
      <c r="BC4" s="8">
        <f t="shared" si="2"/>
        <v>0</v>
      </c>
      <c r="BD4" s="15">
        <f t="shared" si="4"/>
        <v>10</v>
      </c>
      <c r="BE4" s="16">
        <f t="shared" si="5"/>
        <v>80</v>
      </c>
      <c r="BF4" s="16">
        <f t="shared" si="6"/>
        <v>20</v>
      </c>
      <c r="BG4" s="16">
        <f t="shared" si="7"/>
        <v>0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47" t="s">
        <v>54</v>
      </c>
      <c r="B5" s="46" t="s">
        <v>41</v>
      </c>
      <c r="C5" s="35" t="s">
        <v>3</v>
      </c>
      <c r="D5" s="35" t="s">
        <v>3</v>
      </c>
      <c r="E5" s="35" t="s">
        <v>4</v>
      </c>
      <c r="F5" s="35" t="s">
        <v>29</v>
      </c>
      <c r="G5" s="35" t="s">
        <v>4</v>
      </c>
      <c r="H5" s="35" t="s">
        <v>4</v>
      </c>
      <c r="I5" s="35" t="s">
        <v>29</v>
      </c>
      <c r="J5" s="35" t="s">
        <v>4</v>
      </c>
      <c r="K5" s="35" t="s">
        <v>29</v>
      </c>
      <c r="L5" s="35" t="s">
        <v>4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1"/>
      <c r="Z5" s="1"/>
      <c r="AA5" s="1"/>
      <c r="AB5" s="1"/>
      <c r="AC5" s="1"/>
      <c r="AD5" s="1"/>
      <c r="AE5" s="1"/>
      <c r="AF5" s="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1"/>
      <c r="BA5" s="11">
        <f t="shared" si="0"/>
        <v>5</v>
      </c>
      <c r="BB5" s="11">
        <f t="shared" si="1"/>
        <v>3</v>
      </c>
      <c r="BC5" s="11">
        <f t="shared" si="2"/>
        <v>2</v>
      </c>
      <c r="BD5" s="17">
        <f t="shared" si="4"/>
        <v>10</v>
      </c>
      <c r="BE5" s="18">
        <f t="shared" si="5"/>
        <v>50</v>
      </c>
      <c r="BF5" s="18">
        <f t="shared" si="6"/>
        <v>30</v>
      </c>
      <c r="BG5" s="18">
        <f t="shared" si="7"/>
        <v>20</v>
      </c>
      <c r="BH5" s="13"/>
      <c r="BI5" s="13"/>
      <c r="BJ5" s="13"/>
    </row>
    <row r="6" spans="1:111" s="12" customFormat="1" ht="20.399999999999999" customHeight="1" x14ac:dyDescent="0.4">
      <c r="A6" s="47" t="s">
        <v>55</v>
      </c>
      <c r="B6" s="46" t="s">
        <v>41</v>
      </c>
      <c r="C6" s="35" t="s">
        <v>4</v>
      </c>
      <c r="D6" s="35" t="s">
        <v>4</v>
      </c>
      <c r="E6" s="35" t="s">
        <v>3</v>
      </c>
      <c r="F6" s="35" t="s">
        <v>4</v>
      </c>
      <c r="G6" s="35" t="s">
        <v>29</v>
      </c>
      <c r="H6" s="35" t="s">
        <v>4</v>
      </c>
      <c r="I6" s="35" t="s">
        <v>3</v>
      </c>
      <c r="J6" s="35" t="s">
        <v>4</v>
      </c>
      <c r="K6" s="35" t="s">
        <v>3</v>
      </c>
      <c r="L6" s="35" t="s">
        <v>29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1"/>
      <c r="Z6" s="1"/>
      <c r="AA6" s="1"/>
      <c r="AB6" s="1"/>
      <c r="AC6" s="1"/>
      <c r="AD6" s="1"/>
      <c r="AE6" s="1"/>
      <c r="AF6" s="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1"/>
      <c r="BA6" s="11">
        <f t="shared" si="0"/>
        <v>5</v>
      </c>
      <c r="BB6" s="11">
        <f t="shared" si="1"/>
        <v>2</v>
      </c>
      <c r="BC6" s="11">
        <f t="shared" si="2"/>
        <v>3</v>
      </c>
      <c r="BD6" s="17">
        <f t="shared" si="4"/>
        <v>10</v>
      </c>
      <c r="BE6" s="18">
        <f t="shared" si="5"/>
        <v>50</v>
      </c>
      <c r="BF6" s="18">
        <f t="shared" si="6"/>
        <v>20</v>
      </c>
      <c r="BG6" s="18">
        <f t="shared" si="7"/>
        <v>30</v>
      </c>
      <c r="BH6" s="13"/>
      <c r="BI6" s="13"/>
      <c r="BJ6" s="13"/>
    </row>
    <row r="7" spans="1:111" s="12" customFormat="1" ht="20.399999999999999" customHeight="1" x14ac:dyDescent="0.4">
      <c r="A7" s="47" t="s">
        <v>56</v>
      </c>
      <c r="B7" s="46" t="s">
        <v>41</v>
      </c>
      <c r="C7" s="35" t="s">
        <v>29</v>
      </c>
      <c r="D7" s="35" t="s">
        <v>29</v>
      </c>
      <c r="E7" s="35" t="s">
        <v>29</v>
      </c>
      <c r="F7" s="35" t="s">
        <v>29</v>
      </c>
      <c r="G7" s="35" t="s">
        <v>29</v>
      </c>
      <c r="H7" s="35" t="s">
        <v>29</v>
      </c>
      <c r="I7" s="35" t="s">
        <v>3</v>
      </c>
      <c r="J7" s="35" t="s">
        <v>4</v>
      </c>
      <c r="K7" s="35" t="s">
        <v>4</v>
      </c>
      <c r="L7" s="35" t="s">
        <v>29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1"/>
      <c r="Z7" s="1"/>
      <c r="AA7" s="1"/>
      <c r="AB7" s="1"/>
      <c r="AC7" s="1"/>
      <c r="AD7" s="1"/>
      <c r="AE7" s="1"/>
      <c r="AF7" s="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1"/>
      <c r="BA7" s="11">
        <f t="shared" si="0"/>
        <v>2</v>
      </c>
      <c r="BB7" s="11">
        <f t="shared" si="1"/>
        <v>7</v>
      </c>
      <c r="BC7" s="11">
        <f t="shared" si="2"/>
        <v>1</v>
      </c>
      <c r="BD7" s="17">
        <f t="shared" si="4"/>
        <v>10</v>
      </c>
      <c r="BE7" s="18">
        <f t="shared" si="5"/>
        <v>20</v>
      </c>
      <c r="BF7" s="18">
        <f t="shared" si="6"/>
        <v>70</v>
      </c>
      <c r="BG7" s="18">
        <f t="shared" si="7"/>
        <v>10</v>
      </c>
      <c r="BH7" s="13"/>
      <c r="BI7" s="13"/>
      <c r="BJ7" s="13"/>
    </row>
    <row r="8" spans="1:111" s="7" customFormat="1" ht="20.399999999999999" customHeight="1" x14ac:dyDescent="0.4">
      <c r="A8" s="45" t="s">
        <v>57</v>
      </c>
      <c r="B8" s="46" t="s">
        <v>4</v>
      </c>
      <c r="C8" s="33" t="s">
        <v>3</v>
      </c>
      <c r="D8" s="33" t="s">
        <v>3</v>
      </c>
      <c r="E8" s="33" t="s">
        <v>4</v>
      </c>
      <c r="F8" s="33" t="s">
        <v>29</v>
      </c>
      <c r="G8" s="33" t="s">
        <v>3</v>
      </c>
      <c r="H8" s="33" t="s">
        <v>4</v>
      </c>
      <c r="I8" s="33" t="s">
        <v>29</v>
      </c>
      <c r="J8" s="33" t="s">
        <v>4</v>
      </c>
      <c r="K8" s="33" t="s">
        <v>29</v>
      </c>
      <c r="L8" s="33" t="s">
        <v>3</v>
      </c>
      <c r="M8" s="33"/>
      <c r="N8" s="33"/>
      <c r="O8" s="33"/>
      <c r="P8" s="33"/>
      <c r="Q8" s="33"/>
      <c r="R8" s="35"/>
      <c r="S8" s="35"/>
      <c r="T8" s="35"/>
      <c r="U8" s="35"/>
      <c r="V8" s="35"/>
      <c r="W8" s="35"/>
      <c r="X8" s="35"/>
      <c r="Y8" s="1"/>
      <c r="Z8" s="1"/>
      <c r="AA8" s="1"/>
      <c r="AB8" s="1"/>
      <c r="AC8" s="1"/>
      <c r="AD8" s="1"/>
      <c r="AE8" s="1"/>
      <c r="AF8" s="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1"/>
      <c r="BA8" s="8">
        <f t="shared" si="0"/>
        <v>3</v>
      </c>
      <c r="BB8" s="8">
        <f t="shared" si="1"/>
        <v>3</v>
      </c>
      <c r="BC8" s="8">
        <f t="shared" si="2"/>
        <v>4</v>
      </c>
      <c r="BD8" s="15">
        <f t="shared" si="4"/>
        <v>10</v>
      </c>
      <c r="BE8" s="16">
        <f t="shared" si="5"/>
        <v>30</v>
      </c>
      <c r="BF8" s="16">
        <f t="shared" si="6"/>
        <v>30</v>
      </c>
      <c r="BG8" s="16">
        <f t="shared" si="7"/>
        <v>40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45" t="s">
        <v>58</v>
      </c>
      <c r="B9" s="46" t="s">
        <v>4</v>
      </c>
      <c r="C9" s="33" t="s">
        <v>29</v>
      </c>
      <c r="D9" s="33" t="s">
        <v>29</v>
      </c>
      <c r="E9" s="33" t="s">
        <v>29</v>
      </c>
      <c r="F9" s="33" t="s">
        <v>3</v>
      </c>
      <c r="G9" s="33" t="s">
        <v>29</v>
      </c>
      <c r="H9" s="33" t="s">
        <v>29</v>
      </c>
      <c r="I9" s="33" t="s">
        <v>3</v>
      </c>
      <c r="J9" s="33" t="s">
        <v>29</v>
      </c>
      <c r="K9" s="33" t="s">
        <v>3</v>
      </c>
      <c r="L9" s="33" t="s">
        <v>29</v>
      </c>
      <c r="M9" s="33"/>
      <c r="N9" s="33"/>
      <c r="O9" s="33"/>
      <c r="P9" s="33"/>
      <c r="Q9" s="33"/>
      <c r="R9" s="35"/>
      <c r="S9" s="35"/>
      <c r="T9" s="35"/>
      <c r="U9" s="35"/>
      <c r="V9" s="35"/>
      <c r="W9" s="35"/>
      <c r="X9" s="35"/>
      <c r="Y9" s="1"/>
      <c r="Z9" s="1"/>
      <c r="AA9" s="1"/>
      <c r="AB9" s="1"/>
      <c r="AC9" s="1"/>
      <c r="AD9" s="1"/>
      <c r="AE9" s="1"/>
      <c r="AF9" s="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1"/>
      <c r="BA9" s="8">
        <f t="shared" si="0"/>
        <v>0</v>
      </c>
      <c r="BB9" s="8">
        <f t="shared" si="1"/>
        <v>7</v>
      </c>
      <c r="BC9" s="8">
        <f t="shared" si="2"/>
        <v>3</v>
      </c>
      <c r="BD9" s="15">
        <f t="shared" si="4"/>
        <v>10</v>
      </c>
      <c r="BE9" s="16">
        <f t="shared" si="5"/>
        <v>0</v>
      </c>
      <c r="BF9" s="16">
        <f t="shared" si="6"/>
        <v>70</v>
      </c>
      <c r="BG9" s="16">
        <f t="shared" si="7"/>
        <v>30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45" t="s">
        <v>59</v>
      </c>
      <c r="B10" s="46" t="s">
        <v>4</v>
      </c>
      <c r="C10" s="33" t="s">
        <v>3</v>
      </c>
      <c r="D10" s="33" t="s">
        <v>4</v>
      </c>
      <c r="E10" s="33" t="s">
        <v>29</v>
      </c>
      <c r="F10" s="33" t="s">
        <v>4</v>
      </c>
      <c r="G10" s="33" t="s">
        <v>3</v>
      </c>
      <c r="H10" s="33" t="s">
        <v>29</v>
      </c>
      <c r="I10" s="33" t="s">
        <v>4</v>
      </c>
      <c r="J10" s="33" t="s">
        <v>3</v>
      </c>
      <c r="K10" s="33" t="s">
        <v>4</v>
      </c>
      <c r="L10" s="33" t="s">
        <v>3</v>
      </c>
      <c r="M10" s="33"/>
      <c r="N10" s="33"/>
      <c r="O10" s="33"/>
      <c r="P10" s="33"/>
      <c r="Q10" s="33"/>
      <c r="R10" s="35"/>
      <c r="S10" s="35"/>
      <c r="T10" s="35"/>
      <c r="U10" s="35"/>
      <c r="V10" s="35"/>
      <c r="W10" s="35"/>
      <c r="X10" s="35"/>
      <c r="Y10" s="1"/>
      <c r="Z10" s="1"/>
      <c r="AA10" s="1"/>
      <c r="AB10" s="1"/>
      <c r="AC10" s="1"/>
      <c r="AD10" s="1"/>
      <c r="AE10" s="1"/>
      <c r="AF10" s="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1"/>
      <c r="BA10" s="8">
        <f t="shared" si="0"/>
        <v>4</v>
      </c>
      <c r="BB10" s="8">
        <f t="shared" si="1"/>
        <v>2</v>
      </c>
      <c r="BC10" s="8">
        <f t="shared" si="2"/>
        <v>4</v>
      </c>
      <c r="BD10" s="15">
        <f t="shared" si="4"/>
        <v>10</v>
      </c>
      <c r="BE10" s="16">
        <f t="shared" si="5"/>
        <v>40</v>
      </c>
      <c r="BF10" s="16">
        <f t="shared" si="6"/>
        <v>20</v>
      </c>
      <c r="BG10" s="16">
        <f t="shared" si="7"/>
        <v>40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47" t="s">
        <v>60</v>
      </c>
      <c r="B11" s="46" t="s">
        <v>41</v>
      </c>
      <c r="C11" s="35" t="s">
        <v>29</v>
      </c>
      <c r="D11" s="35" t="s">
        <v>29</v>
      </c>
      <c r="E11" s="35" t="s">
        <v>3</v>
      </c>
      <c r="F11" s="35" t="s">
        <v>4</v>
      </c>
      <c r="G11" s="35" t="s">
        <v>3</v>
      </c>
      <c r="H11" s="35" t="s">
        <v>3</v>
      </c>
      <c r="I11" s="35" t="s">
        <v>4</v>
      </c>
      <c r="J11" s="35" t="s">
        <v>4</v>
      </c>
      <c r="K11" s="35" t="s">
        <v>4</v>
      </c>
      <c r="L11" s="35" t="s">
        <v>3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1"/>
      <c r="Z11" s="1"/>
      <c r="AA11" s="1"/>
      <c r="AB11" s="1"/>
      <c r="AC11" s="1"/>
      <c r="AD11" s="1"/>
      <c r="AE11" s="1"/>
      <c r="AF11" s="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1"/>
      <c r="BA11" s="11">
        <f t="shared" si="0"/>
        <v>4</v>
      </c>
      <c r="BB11" s="11">
        <f t="shared" si="1"/>
        <v>2</v>
      </c>
      <c r="BC11" s="11">
        <f t="shared" si="2"/>
        <v>4</v>
      </c>
      <c r="BD11" s="17">
        <f t="shared" si="4"/>
        <v>10</v>
      </c>
      <c r="BE11" s="18">
        <f t="shared" si="5"/>
        <v>40</v>
      </c>
      <c r="BF11" s="18">
        <f t="shared" si="6"/>
        <v>20</v>
      </c>
      <c r="BG11" s="18">
        <f t="shared" si="7"/>
        <v>40</v>
      </c>
      <c r="BH11" s="13"/>
      <c r="BI11" s="13"/>
      <c r="BJ11" s="13"/>
    </row>
    <row r="12" spans="1:111" s="12" customFormat="1" ht="20.399999999999999" customHeight="1" x14ac:dyDescent="0.4">
      <c r="A12" s="47" t="s">
        <v>61</v>
      </c>
      <c r="B12" s="46" t="s">
        <v>3</v>
      </c>
      <c r="C12" s="35" t="s">
        <v>29</v>
      </c>
      <c r="D12" s="35" t="s">
        <v>4</v>
      </c>
      <c r="E12" s="35" t="s">
        <v>3</v>
      </c>
      <c r="F12" s="35" t="s">
        <v>3</v>
      </c>
      <c r="G12" s="35" t="s">
        <v>4</v>
      </c>
      <c r="H12" s="35" t="s">
        <v>4</v>
      </c>
      <c r="I12" s="35" t="s">
        <v>3</v>
      </c>
      <c r="J12" s="35" t="s">
        <v>4</v>
      </c>
      <c r="K12" s="35" t="s">
        <v>4</v>
      </c>
      <c r="L12" s="35" t="s">
        <v>3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1"/>
      <c r="Z12" s="1"/>
      <c r="AA12" s="1"/>
      <c r="AB12" s="1"/>
      <c r="AC12" s="1"/>
      <c r="AD12" s="1"/>
      <c r="AE12" s="1"/>
      <c r="AF12" s="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1"/>
      <c r="BA12" s="11">
        <f t="shared" si="0"/>
        <v>5</v>
      </c>
      <c r="BB12" s="11">
        <f t="shared" si="1"/>
        <v>1</v>
      </c>
      <c r="BC12" s="11">
        <f t="shared" si="2"/>
        <v>4</v>
      </c>
      <c r="BD12" s="17">
        <f t="shared" si="4"/>
        <v>10</v>
      </c>
      <c r="BE12" s="18">
        <f t="shared" si="5"/>
        <v>50</v>
      </c>
      <c r="BF12" s="18">
        <f t="shared" si="6"/>
        <v>10</v>
      </c>
      <c r="BG12" s="18">
        <f t="shared" si="7"/>
        <v>40</v>
      </c>
      <c r="BH12" s="13"/>
      <c r="BI12" s="13"/>
      <c r="BJ12" s="13"/>
    </row>
    <row r="13" spans="1:111" s="12" customFormat="1" ht="20.399999999999999" customHeight="1" x14ac:dyDescent="0.4">
      <c r="A13" s="47" t="s">
        <v>62</v>
      </c>
      <c r="B13" s="46" t="s">
        <v>41</v>
      </c>
      <c r="C13" s="35" t="s">
        <v>4</v>
      </c>
      <c r="D13" s="35" t="s">
        <v>4</v>
      </c>
      <c r="E13" s="35" t="s">
        <v>4</v>
      </c>
      <c r="F13" s="35" t="s">
        <v>3</v>
      </c>
      <c r="G13" s="35" t="s">
        <v>4</v>
      </c>
      <c r="H13" s="35" t="s">
        <v>4</v>
      </c>
      <c r="I13" s="35" t="s">
        <v>29</v>
      </c>
      <c r="J13" s="35" t="s">
        <v>29</v>
      </c>
      <c r="K13" s="35" t="s">
        <v>29</v>
      </c>
      <c r="L13" s="35" t="s">
        <v>29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1"/>
      <c r="Z13" s="1"/>
      <c r="AA13" s="1"/>
      <c r="AB13" s="1"/>
      <c r="AC13" s="1"/>
      <c r="AD13" s="1"/>
      <c r="AE13" s="1"/>
      <c r="AF13" s="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1"/>
      <c r="BA13" s="11">
        <f t="shared" si="0"/>
        <v>5</v>
      </c>
      <c r="BB13" s="11">
        <f t="shared" si="1"/>
        <v>4</v>
      </c>
      <c r="BC13" s="11">
        <f t="shared" si="2"/>
        <v>1</v>
      </c>
      <c r="BD13" s="17">
        <f t="shared" si="4"/>
        <v>10</v>
      </c>
      <c r="BE13" s="18">
        <f t="shared" si="5"/>
        <v>50</v>
      </c>
      <c r="BF13" s="18">
        <f t="shared" si="6"/>
        <v>40</v>
      </c>
      <c r="BG13" s="18">
        <f t="shared" si="7"/>
        <v>10</v>
      </c>
      <c r="BH13" s="13"/>
      <c r="BI13" s="13"/>
      <c r="BJ13" s="13"/>
    </row>
    <row r="14" spans="1:111" s="12" customFormat="1" ht="19.8" customHeight="1" x14ac:dyDescent="0.4">
      <c r="A14" s="47" t="s">
        <v>63</v>
      </c>
      <c r="B14" s="46" t="s">
        <v>4</v>
      </c>
      <c r="C14" s="35" t="s">
        <v>4</v>
      </c>
      <c r="D14" s="35" t="s">
        <v>4</v>
      </c>
      <c r="E14" s="35" t="s">
        <v>3</v>
      </c>
      <c r="F14" s="35" t="s">
        <v>4</v>
      </c>
      <c r="G14" s="35" t="s">
        <v>3</v>
      </c>
      <c r="H14" s="35" t="s">
        <v>29</v>
      </c>
      <c r="I14" s="35" t="s">
        <v>29</v>
      </c>
      <c r="J14" s="35" t="s">
        <v>29</v>
      </c>
      <c r="K14" s="35" t="s">
        <v>29</v>
      </c>
      <c r="L14" s="35" t="s">
        <v>29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1"/>
      <c r="Z14" s="1"/>
      <c r="AA14" s="1"/>
      <c r="AB14" s="1"/>
      <c r="AC14" s="1"/>
      <c r="AD14" s="1"/>
      <c r="AE14" s="1"/>
      <c r="AF14" s="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1"/>
      <c r="BA14" s="11">
        <f t="shared" si="0"/>
        <v>3</v>
      </c>
      <c r="BB14" s="11">
        <f t="shared" si="1"/>
        <v>5</v>
      </c>
      <c r="BC14" s="11">
        <f t="shared" si="2"/>
        <v>2</v>
      </c>
      <c r="BD14" s="17">
        <f t="shared" si="4"/>
        <v>10</v>
      </c>
      <c r="BE14" s="18">
        <f t="shared" si="5"/>
        <v>30</v>
      </c>
      <c r="BF14" s="18">
        <f t="shared" si="6"/>
        <v>50</v>
      </c>
      <c r="BG14" s="18">
        <f t="shared" si="7"/>
        <v>20</v>
      </c>
      <c r="BH14" s="13"/>
      <c r="BI14" s="13"/>
      <c r="BJ14" s="13"/>
    </row>
    <row r="15" spans="1:111" s="2" customFormat="1" ht="18.600000000000001" customHeight="1" x14ac:dyDescent="0.45">
      <c r="C15" s="43" t="s">
        <v>38</v>
      </c>
      <c r="D15" s="43" t="s">
        <v>38</v>
      </c>
      <c r="E15" s="43" t="s">
        <v>38</v>
      </c>
      <c r="F15" s="43" t="s">
        <v>38</v>
      </c>
      <c r="G15" s="43" t="s">
        <v>38</v>
      </c>
      <c r="H15" s="43" t="s">
        <v>38</v>
      </c>
      <c r="I15" s="43" t="s">
        <v>38</v>
      </c>
      <c r="J15" s="43" t="s">
        <v>38</v>
      </c>
      <c r="K15" s="43" t="s">
        <v>38</v>
      </c>
      <c r="L15" s="43" t="s">
        <v>38</v>
      </c>
      <c r="M15" s="43" t="s">
        <v>38</v>
      </c>
      <c r="N15" s="43" t="s">
        <v>38</v>
      </c>
      <c r="O15" s="43" t="s">
        <v>38</v>
      </c>
      <c r="P15" s="43" t="s">
        <v>38</v>
      </c>
      <c r="Q15" s="43" t="s">
        <v>38</v>
      </c>
      <c r="R15" s="43" t="s">
        <v>38</v>
      </c>
      <c r="S15" s="43" t="s">
        <v>38</v>
      </c>
      <c r="T15" s="43" t="s">
        <v>38</v>
      </c>
      <c r="U15" s="43" t="s">
        <v>38</v>
      </c>
      <c r="V15" s="43" t="s">
        <v>38</v>
      </c>
      <c r="W15" s="43" t="s">
        <v>38</v>
      </c>
      <c r="X15" s="43" t="s">
        <v>38</v>
      </c>
      <c r="Y15" s="43" t="s">
        <v>38</v>
      </c>
      <c r="Z15" s="43" t="s">
        <v>38</v>
      </c>
      <c r="AA15" s="43" t="s">
        <v>38</v>
      </c>
      <c r="AB15" s="43" t="s">
        <v>38</v>
      </c>
      <c r="AC15" s="43" t="s">
        <v>38</v>
      </c>
      <c r="AD15" s="43" t="s">
        <v>38</v>
      </c>
      <c r="AE15" s="43" t="s">
        <v>38</v>
      </c>
      <c r="AF15" s="43" t="s">
        <v>38</v>
      </c>
    </row>
    <row r="16" spans="1:111" s="2" customFormat="1" ht="22.8" customHeight="1" x14ac:dyDescent="0.45">
      <c r="A16" s="20" t="s">
        <v>1</v>
      </c>
      <c r="B16" s="21">
        <f>MAX($C$18:$AY$18)</f>
        <v>6</v>
      </c>
      <c r="C16" s="42" t="s">
        <v>37</v>
      </c>
      <c r="D16" s="42" t="s">
        <v>37</v>
      </c>
      <c r="E16" s="42" t="s">
        <v>37</v>
      </c>
      <c r="F16" s="42" t="s">
        <v>37</v>
      </c>
      <c r="G16" s="42" t="s">
        <v>37</v>
      </c>
      <c r="H16" s="42" t="s">
        <v>37</v>
      </c>
      <c r="I16" s="42" t="s">
        <v>37</v>
      </c>
      <c r="J16" s="42" t="s">
        <v>37</v>
      </c>
      <c r="K16" s="42" t="s">
        <v>37</v>
      </c>
      <c r="L16" s="42" t="s">
        <v>37</v>
      </c>
      <c r="M16" s="42" t="s">
        <v>37</v>
      </c>
      <c r="N16" s="42" t="s">
        <v>37</v>
      </c>
      <c r="O16" s="42" t="s">
        <v>37</v>
      </c>
      <c r="P16" s="42" t="s">
        <v>37</v>
      </c>
      <c r="Q16" s="42" t="s">
        <v>37</v>
      </c>
      <c r="R16" s="42" t="s">
        <v>37</v>
      </c>
      <c r="S16" s="42" t="s">
        <v>37</v>
      </c>
      <c r="T16" s="42" t="s">
        <v>37</v>
      </c>
      <c r="U16" s="42" t="s">
        <v>37</v>
      </c>
      <c r="V16" s="42" t="s">
        <v>37</v>
      </c>
      <c r="W16" s="42" t="s">
        <v>37</v>
      </c>
      <c r="X16" s="42" t="s">
        <v>37</v>
      </c>
      <c r="Y16" s="42" t="s">
        <v>37</v>
      </c>
      <c r="Z16" s="42" t="s">
        <v>37</v>
      </c>
      <c r="AA16" s="42" t="s">
        <v>37</v>
      </c>
      <c r="AB16" s="42" t="s">
        <v>37</v>
      </c>
      <c r="AC16" s="42" t="s">
        <v>37</v>
      </c>
      <c r="AD16" s="42" t="s">
        <v>37</v>
      </c>
      <c r="AE16" s="42" t="s">
        <v>37</v>
      </c>
      <c r="AF16" s="42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41" t="s">
        <v>37</v>
      </c>
      <c r="D17" s="41" t="s">
        <v>37</v>
      </c>
      <c r="E17" s="41" t="s">
        <v>37</v>
      </c>
      <c r="F17" s="41" t="s">
        <v>37</v>
      </c>
      <c r="G17" s="41" t="s">
        <v>37</v>
      </c>
      <c r="H17" s="41" t="s">
        <v>37</v>
      </c>
      <c r="I17" s="41" t="s">
        <v>37</v>
      </c>
      <c r="J17" s="41" t="s">
        <v>37</v>
      </c>
      <c r="K17" s="41" t="s">
        <v>37</v>
      </c>
      <c r="L17" s="41" t="s">
        <v>37</v>
      </c>
      <c r="M17" s="41" t="s">
        <v>37</v>
      </c>
      <c r="N17" s="41" t="s">
        <v>37</v>
      </c>
      <c r="O17" s="41" t="s">
        <v>37</v>
      </c>
      <c r="P17" s="41" t="s">
        <v>37</v>
      </c>
      <c r="Q17" s="41" t="s">
        <v>37</v>
      </c>
      <c r="R17" s="41" t="s">
        <v>37</v>
      </c>
      <c r="S17" s="41" t="s">
        <v>37</v>
      </c>
      <c r="T17" s="41" t="s">
        <v>37</v>
      </c>
      <c r="U17" s="41" t="s">
        <v>37</v>
      </c>
      <c r="V17" s="41" t="s">
        <v>37</v>
      </c>
      <c r="W17" s="41" t="s">
        <v>37</v>
      </c>
      <c r="X17" s="41" t="s">
        <v>37</v>
      </c>
      <c r="Y17" s="41" t="s">
        <v>37</v>
      </c>
      <c r="Z17" s="41" t="s">
        <v>37</v>
      </c>
      <c r="AA17" s="41" t="s">
        <v>37</v>
      </c>
      <c r="AB17" s="41" t="s">
        <v>37</v>
      </c>
      <c r="AC17" s="41" t="s">
        <v>37</v>
      </c>
      <c r="AD17" s="41" t="s">
        <v>37</v>
      </c>
      <c r="AE17" s="41" t="s">
        <v>37</v>
      </c>
      <c r="AF17" s="41" t="s">
        <v>37</v>
      </c>
    </row>
    <row r="18" spans="1:51" s="2" customFormat="1" ht="23.4" x14ac:dyDescent="0.45">
      <c r="A18" s="20" t="s">
        <v>2</v>
      </c>
      <c r="C18" s="22">
        <f>COUNTIF(C53:C65,"=1")</f>
        <v>3</v>
      </c>
      <c r="D18" s="22">
        <f t="shared" ref="D18:Y18" si="8">COUNTIF(D53:D65,"=1")</f>
        <v>4</v>
      </c>
      <c r="E18" s="22">
        <f t="shared" si="8"/>
        <v>3</v>
      </c>
      <c r="F18" s="22">
        <f t="shared" si="8"/>
        <v>5</v>
      </c>
      <c r="G18" s="22">
        <f t="shared" si="8"/>
        <v>2</v>
      </c>
      <c r="H18" s="22">
        <f t="shared" si="8"/>
        <v>2</v>
      </c>
      <c r="I18" s="22">
        <f t="shared" si="8"/>
        <v>6</v>
      </c>
      <c r="J18" s="22">
        <f t="shared" si="8"/>
        <v>4</v>
      </c>
      <c r="K18" s="22">
        <f t="shared" si="8"/>
        <v>4</v>
      </c>
      <c r="L18" s="22">
        <f t="shared" si="8"/>
        <v>5</v>
      </c>
      <c r="M18" s="22">
        <f t="shared" si="8"/>
        <v>0</v>
      </c>
      <c r="N18" s="22">
        <f t="shared" si="8"/>
        <v>0</v>
      </c>
      <c r="O18" s="22">
        <f t="shared" ref="O18" si="9">COUNTIF(O53:O65,"=1")</f>
        <v>0</v>
      </c>
      <c r="P18" s="22">
        <f t="shared" si="8"/>
        <v>0</v>
      </c>
      <c r="Q18" s="22">
        <f t="shared" si="8"/>
        <v>0</v>
      </c>
      <c r="R18" s="22">
        <f t="shared" si="8"/>
        <v>0</v>
      </c>
      <c r="S18" s="22">
        <f t="shared" si="8"/>
        <v>0</v>
      </c>
      <c r="T18" s="22">
        <f t="shared" si="8"/>
        <v>0</v>
      </c>
      <c r="U18" s="22">
        <f t="shared" si="8"/>
        <v>0</v>
      </c>
      <c r="V18" s="22">
        <f t="shared" si="8"/>
        <v>0</v>
      </c>
      <c r="W18" s="22">
        <f t="shared" si="8"/>
        <v>0</v>
      </c>
      <c r="X18" s="22">
        <f t="shared" si="8"/>
        <v>0</v>
      </c>
      <c r="Y18" s="22">
        <f t="shared" si="8"/>
        <v>0</v>
      </c>
      <c r="Z18" s="22">
        <f t="shared" ref="Z18:AF18" si="10">COUNTIF(Z53:Z65,"=1")</f>
        <v>0</v>
      </c>
      <c r="AA18" s="22">
        <f t="shared" si="10"/>
        <v>0</v>
      </c>
      <c r="AB18" s="22">
        <f t="shared" ref="AB18" si="11">COUNTIF(AB53:AB65,"=1")</f>
        <v>0</v>
      </c>
      <c r="AC18" s="22">
        <f t="shared" si="10"/>
        <v>0</v>
      </c>
      <c r="AD18" s="22">
        <f t="shared" si="10"/>
        <v>0</v>
      </c>
      <c r="AE18" s="22">
        <f t="shared" si="10"/>
        <v>0</v>
      </c>
      <c r="AF18" s="22">
        <f t="shared" si="10"/>
        <v>0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0</v>
      </c>
      <c r="N19" s="2" cm="1">
        <f t="array" ref="N19">_xlfn.IFS(N20=2,4,N20=1,2,N20=0,1,+N20=-13,0)</f>
        <v>0</v>
      </c>
      <c r="O19" s="2" cm="1">
        <f t="array" ref="O19">_xlfn.IFS(O20=2,4,O20=1,2,O20=0,1,+O20=-13,0)</f>
        <v>0</v>
      </c>
      <c r="P19" s="2" cm="1">
        <f t="array" ref="P19">_xlfn.IFS(P20=2,4,P20=1,2,P20=0,1,+P20=-13,0)</f>
        <v>0</v>
      </c>
      <c r="Q19" s="2" cm="1">
        <f t="array" ref="Q19">_xlfn.IFS(Q20=2,4,Q20=1,2,Q20=0,1,+Q20=-13,0)</f>
        <v>0</v>
      </c>
      <c r="R19" s="2" cm="1">
        <f t="array" ref="R19">_xlfn.IFS(R20=2,4,R20=1,2,R20=0,1,+R20=-13,0)</f>
        <v>0</v>
      </c>
      <c r="S19" s="2" cm="1">
        <f t="array" ref="S19">_xlfn.IFS(S20=2,4,S20=1,2,S20=0,1,+S20=-13,0)</f>
        <v>0</v>
      </c>
      <c r="T19" s="2" cm="1">
        <f t="array" ref="T19">_xlfn.IFS(T20=2,4,T20=1,2,T20=0,1,+T20=-13,0)</f>
        <v>0</v>
      </c>
      <c r="U19" s="2" cm="1">
        <f t="array" ref="U19">_xlfn.IFS(U20=2,4,U20=1,2,U20=0,1,+U20=-13,0)</f>
        <v>0</v>
      </c>
      <c r="V19" s="2" cm="1">
        <f t="array" ref="V19">_xlfn.IFS(V20=2,4,V20=1,2,V20=0,1,+V20=-13,0)</f>
        <v>0</v>
      </c>
      <c r="W19" s="2" cm="1">
        <f t="array" ref="W19">_xlfn.IFS(W20=2,4,W20=1,2,W20=0,1,+W20=-13,0)</f>
        <v>0</v>
      </c>
      <c r="X19" s="2" cm="1">
        <f t="array" ref="X19">_xlfn.IFS(X20=2,4,X20=1,2,X20=0,1,+X20=-13,0)</f>
        <v>0</v>
      </c>
      <c r="Y19" s="2" cm="1">
        <f t="array" ref="Y19">_xlfn.IFS(Y20=2,4,Y20=1,2,Y20=0,1,+Y20=-13,0)</f>
        <v>0</v>
      </c>
      <c r="Z19" s="2" cm="1">
        <f t="array" ref="Z19">_xlfn.IFS(Z20=2,4,Z20=1,2,Z20=0,1,+Z20=-13,0)</f>
        <v>0</v>
      </c>
      <c r="AA19" s="2" cm="1">
        <f t="array" ref="AA19">_xlfn.IFS(AA20=2,4,AA20=1,2,AA20=0,1,+AA20=-13,0)</f>
        <v>0</v>
      </c>
      <c r="AB19" s="2" cm="1">
        <f t="array" ref="AB19">_xlfn.IFS(AB20=2,4,AB20=1,2,AB20=0,1,+AB20=-13,0)</f>
        <v>0</v>
      </c>
      <c r="AC19" s="2" cm="1">
        <f t="array" ref="AC19">_xlfn.IFS(AC20=2,4,AC20=1,2,AC20=0,1,+AC20=-13,0)</f>
        <v>0</v>
      </c>
      <c r="AD19" s="2" cm="1">
        <f t="array" ref="AD19">_xlfn.IFS(AD20=2,4,AD20=1,2,AD20=0,1,+AD20=-13,0)</f>
        <v>0</v>
      </c>
      <c r="AE19" s="2" cm="1">
        <f t="array" ref="AE19">_xlfn.IFS(AE20=2,4,AE20=1,2,AE20=0,1,+AE20=-13,0)</f>
        <v>0</v>
      </c>
      <c r="AF19" s="2" cm="1">
        <f t="array" ref="AF19">_xlfn.IFS(AF20=2,4,AF20=1,2,AF20=0,1,+AF20=-13,0)</f>
        <v>0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-13</v>
      </c>
      <c r="N20" s="2">
        <f t="shared" si="12"/>
        <v>-13</v>
      </c>
      <c r="O20" s="2">
        <f t="shared" si="12"/>
        <v>-13</v>
      </c>
      <c r="P20" s="2">
        <f t="shared" si="12"/>
        <v>-13</v>
      </c>
      <c r="Q20" s="2">
        <f t="shared" si="12"/>
        <v>-13</v>
      </c>
      <c r="R20" s="2">
        <f t="shared" ref="R20" si="13">R21-13</f>
        <v>-13</v>
      </c>
      <c r="S20" s="2">
        <f t="shared" ref="S20" si="14">S21-13</f>
        <v>-13</v>
      </c>
      <c r="T20" s="2">
        <f t="shared" ref="T20" si="15">T21-13</f>
        <v>-13</v>
      </c>
      <c r="U20" s="2">
        <f t="shared" ref="U20" si="16">U21-13</f>
        <v>-13</v>
      </c>
      <c r="V20" s="2">
        <f t="shared" ref="V20" si="17">V21-13</f>
        <v>-13</v>
      </c>
      <c r="W20" s="4">
        <f t="shared" ref="W20" si="18">W21-13</f>
        <v>-13</v>
      </c>
      <c r="X20" s="2">
        <f t="shared" ref="X20" si="19">X21-13</f>
        <v>-13</v>
      </c>
      <c r="Y20" s="2">
        <f t="shared" ref="Y20" si="20">Y21-13</f>
        <v>-13</v>
      </c>
      <c r="Z20" s="2">
        <f t="shared" ref="Z20" si="21">Z21-13</f>
        <v>-13</v>
      </c>
      <c r="AA20" s="2">
        <f t="shared" ref="AA20:AB20" si="22">AA21-13</f>
        <v>-13</v>
      </c>
      <c r="AB20" s="2">
        <f t="shared" si="22"/>
        <v>-13</v>
      </c>
      <c r="AC20" s="4">
        <f t="shared" ref="AC20" si="23">AC21-13</f>
        <v>-13</v>
      </c>
      <c r="AD20" s="2">
        <f t="shared" ref="AD20" si="24">AD21-13</f>
        <v>-13</v>
      </c>
      <c r="AE20" s="2">
        <f t="shared" ref="AE20" si="25">AE21-13</f>
        <v>-13</v>
      </c>
      <c r="AF20" s="2">
        <f t="shared" ref="AF20" si="26">AF21-13</f>
        <v>-13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0</v>
      </c>
      <c r="N21" s="2">
        <f t="shared" si="46"/>
        <v>0</v>
      </c>
      <c r="O21" s="2">
        <f t="shared" ref="O21" si="47">SUM(O23:O35)</f>
        <v>0</v>
      </c>
      <c r="P21" s="2">
        <f t="shared" si="46"/>
        <v>0</v>
      </c>
      <c r="Q21" s="2">
        <f t="shared" si="46"/>
        <v>0</v>
      </c>
      <c r="R21" s="2">
        <f t="shared" ref="R21:AY21" si="48">SUM(R23:R35)</f>
        <v>0</v>
      </c>
      <c r="S21" s="2">
        <f t="shared" si="48"/>
        <v>0</v>
      </c>
      <c r="T21" s="2">
        <f t="shared" si="48"/>
        <v>0</v>
      </c>
      <c r="U21" s="2">
        <f t="shared" si="48"/>
        <v>0</v>
      </c>
      <c r="V21" s="2">
        <f t="shared" si="48"/>
        <v>0</v>
      </c>
      <c r="W21" s="4">
        <f t="shared" si="48"/>
        <v>0</v>
      </c>
      <c r="X21" s="2">
        <f t="shared" si="48"/>
        <v>0</v>
      </c>
      <c r="Y21" s="2">
        <f t="shared" si="48"/>
        <v>0</v>
      </c>
      <c r="Z21" s="2">
        <f t="shared" si="48"/>
        <v>0</v>
      </c>
      <c r="AA21" s="2">
        <f t="shared" si="48"/>
        <v>0</v>
      </c>
      <c r="AB21" s="2">
        <f t="shared" ref="AB21" si="49">SUM(AB23:AB35)</f>
        <v>0</v>
      </c>
      <c r="AC21" s="4">
        <f t="shared" si="48"/>
        <v>0</v>
      </c>
      <c r="AD21" s="2">
        <f t="shared" si="48"/>
        <v>0</v>
      </c>
      <c r="AE21" s="2">
        <f t="shared" si="48"/>
        <v>0</v>
      </c>
      <c r="AF21" s="2">
        <f t="shared" si="48"/>
        <v>0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0</v>
      </c>
      <c r="N22" s="2" cm="1">
        <f t="array" ref="N22">_xlfn.IFS(N20=2,4,N20=1,2,N20=0,1,N20&lt;0,0)</f>
        <v>0</v>
      </c>
      <c r="O22" s="2" cm="1">
        <f t="array" ref="O22">_xlfn.IFS(O20=2,4,O20=1,2,O20=0,1,O20&lt;0,0)</f>
        <v>0</v>
      </c>
      <c r="P22" s="2" cm="1">
        <f t="array" ref="P22">_xlfn.IFS(P20=2,4,P20=1,2,P20=0,1,P20&lt;0,0)</f>
        <v>0</v>
      </c>
      <c r="Q22" s="2" cm="1">
        <f t="array" ref="Q22">_xlfn.IFS(Q20=2,4,Q20=1,2,Q20=0,1,Q20&lt;0,0)</f>
        <v>0</v>
      </c>
      <c r="R22" s="2" cm="1">
        <f t="array" ref="R22">_xlfn.IFS(R20=2,4,R20=1,2,R20=0,1,R20&lt;0,0)</f>
        <v>0</v>
      </c>
      <c r="S22" s="2" cm="1">
        <f t="array" ref="S22">_xlfn.IFS(S20=2,4,S20=1,2,S20=0,1,S20&lt;0,0)</f>
        <v>0</v>
      </c>
      <c r="T22" s="2" cm="1">
        <f t="array" ref="T22">_xlfn.IFS(T20=2,4,T20=1,2,T20=0,1,T20&lt;0,0)</f>
        <v>0</v>
      </c>
      <c r="U22" s="2" cm="1">
        <f t="array" ref="U22">_xlfn.IFS(U20=2,4,U20=1,2,U20=0,1,U20&lt;0,0)</f>
        <v>0</v>
      </c>
      <c r="V22" s="2" cm="1">
        <f t="array" ref="V22">_xlfn.IFS(V20=2,4,V20=1,2,V20=0,1,V20&lt;0,0)</f>
        <v>0</v>
      </c>
      <c r="W22" s="4" cm="1">
        <f t="array" ref="W22">_xlfn.IFS(W20=2,4,W20=1,2,W20=0,1,W20&lt;0,0)</f>
        <v>0</v>
      </c>
      <c r="X22" s="2" cm="1">
        <f t="array" ref="X22">_xlfn.IFS(X20=2,4,X20=1,2,X20=0,1,X20&lt;0,0)</f>
        <v>0</v>
      </c>
      <c r="Y22" s="2" cm="1">
        <f t="array" ref="Y22">_xlfn.IFS(Y20=2,4,Y20=1,2,Y20=0,1,Y20&lt;0,0)</f>
        <v>0</v>
      </c>
      <c r="Z22" s="2" cm="1">
        <f t="array" ref="Z22">_xlfn.IFS(Z20=2,4,Z20=1,2,Z20=0,1,Z20&lt;0,0)</f>
        <v>0</v>
      </c>
      <c r="AA22" s="2" cm="1">
        <f t="array" ref="AA22">_xlfn.IFS(AA20=2,4,AA20=1,2,AA20=0,1,AA20&lt;0,0)</f>
        <v>0</v>
      </c>
      <c r="AB22" s="2" cm="1">
        <f t="array" ref="AB22">_xlfn.IFS(AB20=2,4,AB20=1,2,AB20=0,1,AB20&lt;0,0)</f>
        <v>0</v>
      </c>
      <c r="AC22" s="4" cm="1">
        <f t="array" ref="AC22">_xlfn.IFS(AC20=2,4,AC20=1,2,AC20=0,1,AC20&lt;0,0)</f>
        <v>0</v>
      </c>
      <c r="AD22" s="2" cm="1">
        <f t="array" ref="AD22">_xlfn.IFS(AD20=2,4,AD20=1,2,AD20=0,1,AD20&lt;0,0)</f>
        <v>0</v>
      </c>
      <c r="AE22" s="2" cm="1">
        <f t="array" ref="AE22">_xlfn.IFS(AE20=2,4,AE20=1,2,AE20=0,1,AE20&lt;0,0)</f>
        <v>0</v>
      </c>
      <c r="AF22" s="2" cm="1">
        <f t="array" ref="AF22">_xlfn.IFS(AF20=2,4,AF20=1,2,AF20=0,1,AF20&lt;0,0)</f>
        <v>0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0</v>
      </c>
      <c r="N23" s="2" cm="1">
        <f t="array" ref="N23:N35">LEN(N2:N14)</f>
        <v>0</v>
      </c>
      <c r="O23" s="2" cm="1">
        <f t="array" ref="O23:O35">LEN(O2:O14)</f>
        <v>0</v>
      </c>
      <c r="P23" s="2" cm="1">
        <f t="array" ref="P23:P35">LEN(P2:P14)</f>
        <v>0</v>
      </c>
      <c r="Q23" s="2" cm="1">
        <f t="array" ref="Q23:Q35">LEN(Q2:Q14)</f>
        <v>0</v>
      </c>
      <c r="R23" s="2" cm="1">
        <f t="array" ref="R23:R35">LEN(R2:R14)</f>
        <v>0</v>
      </c>
      <c r="S23" s="2" cm="1">
        <f t="array" ref="S23:S35">LEN(S2:S14)</f>
        <v>0</v>
      </c>
      <c r="T23" s="2" cm="1">
        <f t="array" ref="T23:T35">LEN(T2:T14)</f>
        <v>0</v>
      </c>
      <c r="U23" s="2" cm="1">
        <f t="array" ref="U23:U35">LEN(U2:U14)</f>
        <v>0</v>
      </c>
      <c r="V23" s="2" cm="1">
        <f t="array" ref="V23:V35">LEN(V2:V14)</f>
        <v>0</v>
      </c>
      <c r="W23" s="4" cm="1">
        <f t="array" ref="W23:W35">LEN(W2:W14)</f>
        <v>0</v>
      </c>
      <c r="X23" s="2" cm="1">
        <f t="array" ref="X23:X35">LEN(X2:X14)</f>
        <v>0</v>
      </c>
      <c r="Y23" s="2" cm="1">
        <f t="array" ref="Y23:Y35">LEN(Y2:Y14)</f>
        <v>0</v>
      </c>
      <c r="Z23" s="2" cm="1">
        <f t="array" ref="Z23:Z35">LEN(Z2:Z14)</f>
        <v>0</v>
      </c>
      <c r="AA23" s="2" cm="1">
        <f t="array" ref="AA23:AA35">LEN(AA2:AA14)</f>
        <v>0</v>
      </c>
      <c r="AB23" s="2" cm="1">
        <f t="array" ref="AB23:AB35">LEN(AB2:AB14)</f>
        <v>0</v>
      </c>
      <c r="AC23" s="4" cm="1">
        <f t="array" ref="AC23:AC35">LEN(AC2:AC14)</f>
        <v>0</v>
      </c>
      <c r="AD23" s="2" cm="1">
        <f t="array" ref="AD23:AD35">LEN(AD2:AD14)</f>
        <v>0</v>
      </c>
      <c r="AE23" s="2" cm="1">
        <f t="array" ref="AE23:AE35">LEN(AE2:AE14)</f>
        <v>0</v>
      </c>
      <c r="AF23" s="2" cm="1">
        <f t="array" ref="AF23:AF35">LEN(AF2:AF14)</f>
        <v>0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4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4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4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4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4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4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4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4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4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4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4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4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4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4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4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4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4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4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4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4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4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4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4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4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0">IF(OR($B2=MID(D2,1,1),$B2=MID(D2,2,1),$B2=MID(D2,3,1)),1,0)</f>
        <v>0</v>
      </c>
      <c r="E53">
        <f t="shared" si="50"/>
        <v>0</v>
      </c>
      <c r="F53">
        <f t="shared" si="50"/>
        <v>0</v>
      </c>
      <c r="G53">
        <f t="shared" si="50"/>
        <v>0</v>
      </c>
      <c r="H53">
        <f t="shared" si="50"/>
        <v>0</v>
      </c>
      <c r="I53">
        <f t="shared" si="50"/>
        <v>0</v>
      </c>
      <c r="J53">
        <f t="shared" si="50"/>
        <v>0</v>
      </c>
      <c r="K53">
        <f t="shared" si="50"/>
        <v>0</v>
      </c>
      <c r="L53">
        <f t="shared" si="50"/>
        <v>0</v>
      </c>
      <c r="M53">
        <f t="shared" si="50"/>
        <v>0</v>
      </c>
      <c r="N53">
        <f t="shared" si="50"/>
        <v>0</v>
      </c>
      <c r="O53">
        <f t="shared" si="50"/>
        <v>0</v>
      </c>
      <c r="P53">
        <f t="shared" si="50"/>
        <v>0</v>
      </c>
      <c r="Q53">
        <f t="shared" si="50"/>
        <v>0</v>
      </c>
      <c r="R53">
        <f t="shared" si="50"/>
        <v>0</v>
      </c>
      <c r="S53">
        <f t="shared" si="50"/>
        <v>0</v>
      </c>
      <c r="T53">
        <f t="shared" si="50"/>
        <v>0</v>
      </c>
      <c r="U53">
        <f t="shared" si="50"/>
        <v>0</v>
      </c>
      <c r="V53">
        <f t="shared" si="50"/>
        <v>0</v>
      </c>
      <c r="W53">
        <f t="shared" si="50"/>
        <v>0</v>
      </c>
      <c r="X53">
        <f t="shared" si="50"/>
        <v>0</v>
      </c>
      <c r="Y53">
        <f t="shared" si="50"/>
        <v>0</v>
      </c>
      <c r="Z53">
        <f t="shared" si="50"/>
        <v>0</v>
      </c>
      <c r="AA53">
        <f t="shared" si="50"/>
        <v>0</v>
      </c>
      <c r="AB53">
        <f t="shared" si="50"/>
        <v>0</v>
      </c>
      <c r="AC53">
        <f t="shared" si="50"/>
        <v>0</v>
      </c>
      <c r="AD53">
        <f t="shared" si="50"/>
        <v>0</v>
      </c>
      <c r="AE53">
        <f t="shared" si="50"/>
        <v>0</v>
      </c>
      <c r="AF53">
        <f t="shared" si="50"/>
        <v>0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0</v>
      </c>
      <c r="D54">
        <f t="shared" si="51"/>
        <v>0</v>
      </c>
      <c r="E54">
        <f t="shared" si="51"/>
        <v>0</v>
      </c>
      <c r="F54">
        <f t="shared" si="51"/>
        <v>0</v>
      </c>
      <c r="G54">
        <f t="shared" si="51"/>
        <v>0</v>
      </c>
      <c r="H54">
        <f t="shared" si="51"/>
        <v>0</v>
      </c>
      <c r="I54">
        <f t="shared" si="51"/>
        <v>1</v>
      </c>
      <c r="J54">
        <f t="shared" si="51"/>
        <v>1</v>
      </c>
      <c r="K54">
        <f t="shared" si="51"/>
        <v>1</v>
      </c>
      <c r="L54">
        <f t="shared" si="51"/>
        <v>1</v>
      </c>
      <c r="M54">
        <f t="shared" si="51"/>
        <v>0</v>
      </c>
      <c r="N54">
        <f t="shared" si="51"/>
        <v>0</v>
      </c>
      <c r="O54">
        <f t="shared" si="51"/>
        <v>0</v>
      </c>
      <c r="P54">
        <f t="shared" si="51"/>
        <v>0</v>
      </c>
      <c r="Q54">
        <f t="shared" si="51"/>
        <v>0</v>
      </c>
      <c r="R54">
        <f t="shared" si="51"/>
        <v>0</v>
      </c>
      <c r="S54">
        <f t="shared" si="50"/>
        <v>0</v>
      </c>
      <c r="T54">
        <f t="shared" si="50"/>
        <v>0</v>
      </c>
      <c r="U54">
        <f t="shared" si="50"/>
        <v>0</v>
      </c>
      <c r="V54">
        <f t="shared" si="50"/>
        <v>0</v>
      </c>
      <c r="W54">
        <f t="shared" si="50"/>
        <v>0</v>
      </c>
      <c r="X54">
        <f t="shared" si="50"/>
        <v>0</v>
      </c>
      <c r="Y54">
        <f t="shared" si="50"/>
        <v>0</v>
      </c>
      <c r="Z54">
        <f t="shared" si="50"/>
        <v>0</v>
      </c>
      <c r="AA54">
        <f t="shared" si="50"/>
        <v>0</v>
      </c>
      <c r="AB54">
        <f t="shared" si="50"/>
        <v>0</v>
      </c>
      <c r="AC54">
        <f t="shared" si="50"/>
        <v>0</v>
      </c>
      <c r="AD54">
        <f t="shared" si="50"/>
        <v>0</v>
      </c>
      <c r="AE54">
        <f t="shared" si="50"/>
        <v>0</v>
      </c>
      <c r="AF54">
        <f t="shared" si="50"/>
        <v>0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0</v>
      </c>
      <c r="D55">
        <f t="shared" ref="D55:AY58" si="52">IF(OR($B4=MID(D4,1,1),$B4=MID(D4,2,1),$B4=MID(D4,3,1)),1,0)</f>
        <v>0</v>
      </c>
      <c r="E55">
        <f t="shared" si="52"/>
        <v>0</v>
      </c>
      <c r="F55">
        <f t="shared" si="52"/>
        <v>0</v>
      </c>
      <c r="G55">
        <f t="shared" si="52"/>
        <v>0</v>
      </c>
      <c r="H55">
        <f t="shared" si="52"/>
        <v>0</v>
      </c>
      <c r="I55">
        <f t="shared" si="52"/>
        <v>1</v>
      </c>
      <c r="J55">
        <f t="shared" si="52"/>
        <v>1</v>
      </c>
      <c r="K55">
        <f t="shared" si="52"/>
        <v>0</v>
      </c>
      <c r="L55">
        <f t="shared" si="52"/>
        <v>0</v>
      </c>
      <c r="M55">
        <f t="shared" si="52"/>
        <v>0</v>
      </c>
      <c r="N55">
        <f t="shared" si="52"/>
        <v>0</v>
      </c>
      <c r="O55">
        <f t="shared" si="52"/>
        <v>0</v>
      </c>
      <c r="P55">
        <f t="shared" si="52"/>
        <v>0</v>
      </c>
      <c r="Q55">
        <f t="shared" si="52"/>
        <v>0</v>
      </c>
      <c r="R55">
        <f t="shared" si="52"/>
        <v>0</v>
      </c>
      <c r="S55">
        <f t="shared" si="52"/>
        <v>0</v>
      </c>
      <c r="T55">
        <f t="shared" si="52"/>
        <v>0</v>
      </c>
      <c r="U55">
        <f t="shared" si="52"/>
        <v>0</v>
      </c>
      <c r="V55">
        <f t="shared" si="52"/>
        <v>0</v>
      </c>
      <c r="W55">
        <f t="shared" si="52"/>
        <v>0</v>
      </c>
      <c r="X55">
        <f t="shared" si="52"/>
        <v>0</v>
      </c>
      <c r="Y55">
        <f t="shared" si="52"/>
        <v>0</v>
      </c>
      <c r="Z55">
        <f t="shared" si="52"/>
        <v>0</v>
      </c>
      <c r="AA55">
        <f t="shared" si="52"/>
        <v>0</v>
      </c>
      <c r="AB55">
        <f t="shared" si="52"/>
        <v>0</v>
      </c>
      <c r="AC55">
        <f t="shared" si="52"/>
        <v>0</v>
      </c>
      <c r="AD55">
        <f t="shared" si="52"/>
        <v>0</v>
      </c>
      <c r="AE55">
        <f t="shared" si="52"/>
        <v>0</v>
      </c>
      <c r="AF55">
        <f t="shared" si="52"/>
        <v>0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0</v>
      </c>
      <c r="D56">
        <f t="shared" si="52"/>
        <v>0</v>
      </c>
      <c r="E56">
        <f t="shared" si="52"/>
        <v>0</v>
      </c>
      <c r="F56">
        <f t="shared" si="52"/>
        <v>1</v>
      </c>
      <c r="G56">
        <f t="shared" si="52"/>
        <v>0</v>
      </c>
      <c r="H56">
        <f t="shared" si="52"/>
        <v>0</v>
      </c>
      <c r="I56">
        <f t="shared" si="52"/>
        <v>1</v>
      </c>
      <c r="J56">
        <f t="shared" si="52"/>
        <v>0</v>
      </c>
      <c r="K56">
        <f t="shared" si="52"/>
        <v>1</v>
      </c>
      <c r="L56">
        <f t="shared" si="52"/>
        <v>0</v>
      </c>
      <c r="M56">
        <f t="shared" si="52"/>
        <v>0</v>
      </c>
      <c r="N56">
        <f t="shared" si="52"/>
        <v>0</v>
      </c>
      <c r="O56">
        <f t="shared" si="52"/>
        <v>0</v>
      </c>
      <c r="P56">
        <f t="shared" si="52"/>
        <v>0</v>
      </c>
      <c r="Q56">
        <f t="shared" si="52"/>
        <v>0</v>
      </c>
      <c r="R56">
        <f t="shared" si="52"/>
        <v>0</v>
      </c>
      <c r="S56">
        <f t="shared" si="52"/>
        <v>0</v>
      </c>
      <c r="T56">
        <f t="shared" si="52"/>
        <v>0</v>
      </c>
      <c r="U56">
        <f t="shared" si="52"/>
        <v>0</v>
      </c>
      <c r="V56">
        <f t="shared" si="52"/>
        <v>0</v>
      </c>
      <c r="W56">
        <f t="shared" si="52"/>
        <v>0</v>
      </c>
      <c r="X56">
        <f t="shared" si="52"/>
        <v>0</v>
      </c>
      <c r="Y56">
        <f t="shared" si="52"/>
        <v>0</v>
      </c>
      <c r="Z56">
        <f t="shared" si="52"/>
        <v>0</v>
      </c>
      <c r="AA56">
        <f t="shared" si="52"/>
        <v>0</v>
      </c>
      <c r="AB56">
        <f t="shared" si="52"/>
        <v>0</v>
      </c>
      <c r="AC56">
        <f t="shared" si="52"/>
        <v>0</v>
      </c>
      <c r="AD56">
        <f t="shared" si="52"/>
        <v>0</v>
      </c>
      <c r="AE56">
        <f t="shared" si="52"/>
        <v>0</v>
      </c>
      <c r="AF56">
        <f t="shared" si="52"/>
        <v>0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0</v>
      </c>
      <c r="D57">
        <f t="shared" si="52"/>
        <v>0</v>
      </c>
      <c r="E57">
        <f t="shared" si="52"/>
        <v>0</v>
      </c>
      <c r="F57">
        <f t="shared" si="52"/>
        <v>0</v>
      </c>
      <c r="G57">
        <f t="shared" si="52"/>
        <v>1</v>
      </c>
      <c r="H57">
        <f t="shared" si="52"/>
        <v>0</v>
      </c>
      <c r="I57">
        <f t="shared" si="52"/>
        <v>0</v>
      </c>
      <c r="J57">
        <f t="shared" si="52"/>
        <v>0</v>
      </c>
      <c r="K57">
        <f t="shared" si="52"/>
        <v>0</v>
      </c>
      <c r="L57">
        <f t="shared" si="52"/>
        <v>1</v>
      </c>
      <c r="M57">
        <f t="shared" si="52"/>
        <v>0</v>
      </c>
      <c r="N57">
        <f t="shared" si="52"/>
        <v>0</v>
      </c>
      <c r="O57">
        <f t="shared" si="52"/>
        <v>0</v>
      </c>
      <c r="P57">
        <f t="shared" si="52"/>
        <v>0</v>
      </c>
      <c r="Q57">
        <f t="shared" si="52"/>
        <v>0</v>
      </c>
      <c r="R57">
        <f t="shared" si="52"/>
        <v>0</v>
      </c>
      <c r="S57">
        <f t="shared" si="52"/>
        <v>0</v>
      </c>
      <c r="T57">
        <f t="shared" si="52"/>
        <v>0</v>
      </c>
      <c r="U57">
        <f t="shared" si="52"/>
        <v>0</v>
      </c>
      <c r="V57">
        <f t="shared" si="52"/>
        <v>0</v>
      </c>
      <c r="W57">
        <f t="shared" si="52"/>
        <v>0</v>
      </c>
      <c r="X57">
        <f t="shared" si="52"/>
        <v>0</v>
      </c>
      <c r="Y57">
        <f t="shared" si="52"/>
        <v>0</v>
      </c>
      <c r="Z57">
        <f t="shared" si="52"/>
        <v>0</v>
      </c>
      <c r="AA57">
        <f t="shared" si="52"/>
        <v>0</v>
      </c>
      <c r="AB57">
        <f t="shared" si="52"/>
        <v>0</v>
      </c>
      <c r="AC57">
        <f t="shared" si="52"/>
        <v>0</v>
      </c>
      <c r="AD57">
        <f t="shared" si="52"/>
        <v>0</v>
      </c>
      <c r="AE57">
        <f t="shared" si="52"/>
        <v>0</v>
      </c>
      <c r="AF57">
        <f t="shared" si="52"/>
        <v>0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1</v>
      </c>
      <c r="D58">
        <f t="shared" si="52"/>
        <v>1</v>
      </c>
      <c r="E58">
        <f t="shared" si="52"/>
        <v>1</v>
      </c>
      <c r="F58">
        <f t="shared" si="52"/>
        <v>1</v>
      </c>
      <c r="G58">
        <f t="shared" si="52"/>
        <v>1</v>
      </c>
      <c r="H58">
        <f t="shared" si="52"/>
        <v>1</v>
      </c>
      <c r="I58">
        <f t="shared" si="52"/>
        <v>0</v>
      </c>
      <c r="J58">
        <f t="shared" si="52"/>
        <v>0</v>
      </c>
      <c r="K58">
        <f t="shared" si="52"/>
        <v>0</v>
      </c>
      <c r="L58">
        <f t="shared" si="52"/>
        <v>1</v>
      </c>
      <c r="M58">
        <f t="shared" si="52"/>
        <v>0</v>
      </c>
      <c r="N58">
        <f t="shared" si="52"/>
        <v>0</v>
      </c>
      <c r="O58">
        <f t="shared" si="52"/>
        <v>0</v>
      </c>
      <c r="P58">
        <f t="shared" si="52"/>
        <v>0</v>
      </c>
      <c r="Q58">
        <f t="shared" si="52"/>
        <v>0</v>
      </c>
      <c r="R58">
        <f t="shared" si="52"/>
        <v>0</v>
      </c>
      <c r="S58">
        <f t="shared" si="52"/>
        <v>0</v>
      </c>
      <c r="T58">
        <f t="shared" si="52"/>
        <v>0</v>
      </c>
      <c r="U58">
        <f t="shared" si="52"/>
        <v>0</v>
      </c>
      <c r="V58">
        <f t="shared" si="52"/>
        <v>0</v>
      </c>
      <c r="W58">
        <f t="shared" si="52"/>
        <v>0</v>
      </c>
      <c r="X58">
        <f t="shared" si="52"/>
        <v>0</v>
      </c>
      <c r="Y58">
        <f t="shared" si="52"/>
        <v>0</v>
      </c>
      <c r="Z58">
        <f t="shared" si="52"/>
        <v>0</v>
      </c>
      <c r="AA58">
        <f t="shared" si="52"/>
        <v>0</v>
      </c>
      <c r="AB58">
        <f t="shared" si="52"/>
        <v>0</v>
      </c>
      <c r="AC58">
        <f t="shared" si="52"/>
        <v>0</v>
      </c>
      <c r="AD58">
        <f t="shared" si="52"/>
        <v>0</v>
      </c>
      <c r="AE58">
        <f t="shared" si="52"/>
        <v>0</v>
      </c>
      <c r="AF58">
        <f t="shared" si="52"/>
        <v>0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0</v>
      </c>
      <c r="D59">
        <f t="shared" ref="D59:AY62" si="53">IF(OR($B8=MID(D8,1,1),$B8=MID(D8,2,1),$B8=MID(D8,3,1)),1,0)</f>
        <v>0</v>
      </c>
      <c r="E59">
        <f t="shared" si="53"/>
        <v>1</v>
      </c>
      <c r="F59">
        <f t="shared" si="53"/>
        <v>0</v>
      </c>
      <c r="G59">
        <f t="shared" si="53"/>
        <v>0</v>
      </c>
      <c r="H59">
        <f t="shared" si="53"/>
        <v>1</v>
      </c>
      <c r="I59">
        <f t="shared" si="53"/>
        <v>0</v>
      </c>
      <c r="J59">
        <f t="shared" si="53"/>
        <v>1</v>
      </c>
      <c r="K59">
        <f t="shared" si="53"/>
        <v>0</v>
      </c>
      <c r="L59">
        <f t="shared" si="53"/>
        <v>0</v>
      </c>
      <c r="M59">
        <f t="shared" si="53"/>
        <v>0</v>
      </c>
      <c r="N59">
        <f t="shared" si="53"/>
        <v>0</v>
      </c>
      <c r="O59">
        <f t="shared" si="53"/>
        <v>0</v>
      </c>
      <c r="P59">
        <f t="shared" si="53"/>
        <v>0</v>
      </c>
      <c r="Q59">
        <f t="shared" si="53"/>
        <v>0</v>
      </c>
      <c r="R59">
        <f t="shared" si="53"/>
        <v>0</v>
      </c>
      <c r="S59">
        <f t="shared" si="53"/>
        <v>0</v>
      </c>
      <c r="T59">
        <f t="shared" si="53"/>
        <v>0</v>
      </c>
      <c r="U59">
        <f t="shared" si="53"/>
        <v>0</v>
      </c>
      <c r="V59">
        <f t="shared" si="53"/>
        <v>0</v>
      </c>
      <c r="W59">
        <f t="shared" si="53"/>
        <v>0</v>
      </c>
      <c r="X59">
        <f t="shared" si="53"/>
        <v>0</v>
      </c>
      <c r="Y59">
        <f t="shared" si="53"/>
        <v>0</v>
      </c>
      <c r="Z59">
        <f t="shared" si="53"/>
        <v>0</v>
      </c>
      <c r="AA59">
        <f t="shared" si="53"/>
        <v>0</v>
      </c>
      <c r="AB59">
        <f t="shared" si="53"/>
        <v>0</v>
      </c>
      <c r="AC59">
        <f t="shared" si="53"/>
        <v>0</v>
      </c>
      <c r="AD59">
        <f t="shared" si="53"/>
        <v>0</v>
      </c>
      <c r="AE59">
        <f t="shared" si="53"/>
        <v>0</v>
      </c>
      <c r="AF59">
        <f t="shared" si="53"/>
        <v>0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0</v>
      </c>
      <c r="D60">
        <f t="shared" si="53"/>
        <v>0</v>
      </c>
      <c r="E60">
        <f t="shared" si="53"/>
        <v>0</v>
      </c>
      <c r="F60">
        <f t="shared" si="53"/>
        <v>0</v>
      </c>
      <c r="G60">
        <f t="shared" si="53"/>
        <v>0</v>
      </c>
      <c r="H60">
        <f t="shared" si="53"/>
        <v>0</v>
      </c>
      <c r="I60">
        <f t="shared" si="53"/>
        <v>0</v>
      </c>
      <c r="J60">
        <f t="shared" si="53"/>
        <v>0</v>
      </c>
      <c r="K60">
        <f t="shared" si="53"/>
        <v>0</v>
      </c>
      <c r="L60">
        <f t="shared" si="53"/>
        <v>0</v>
      </c>
      <c r="M60">
        <f t="shared" si="53"/>
        <v>0</v>
      </c>
      <c r="N60">
        <f t="shared" si="53"/>
        <v>0</v>
      </c>
      <c r="O60">
        <f t="shared" si="53"/>
        <v>0</v>
      </c>
      <c r="P60">
        <f t="shared" si="53"/>
        <v>0</v>
      </c>
      <c r="Q60">
        <f t="shared" si="53"/>
        <v>0</v>
      </c>
      <c r="R60">
        <f t="shared" si="53"/>
        <v>0</v>
      </c>
      <c r="S60">
        <f t="shared" si="53"/>
        <v>0</v>
      </c>
      <c r="T60">
        <f t="shared" si="53"/>
        <v>0</v>
      </c>
      <c r="U60">
        <f t="shared" si="53"/>
        <v>0</v>
      </c>
      <c r="V60">
        <f t="shared" si="53"/>
        <v>0</v>
      </c>
      <c r="W60">
        <f t="shared" si="53"/>
        <v>0</v>
      </c>
      <c r="X60">
        <f t="shared" si="53"/>
        <v>0</v>
      </c>
      <c r="Y60">
        <f t="shared" si="53"/>
        <v>0</v>
      </c>
      <c r="Z60">
        <f t="shared" si="53"/>
        <v>0</v>
      </c>
      <c r="AA60">
        <f t="shared" si="53"/>
        <v>0</v>
      </c>
      <c r="AB60">
        <f t="shared" si="53"/>
        <v>0</v>
      </c>
      <c r="AC60">
        <f t="shared" si="53"/>
        <v>0</v>
      </c>
      <c r="AD60">
        <f t="shared" si="53"/>
        <v>0</v>
      </c>
      <c r="AE60">
        <f t="shared" si="53"/>
        <v>0</v>
      </c>
      <c r="AF60">
        <f t="shared" si="53"/>
        <v>0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0</v>
      </c>
      <c r="D61">
        <f t="shared" si="53"/>
        <v>1</v>
      </c>
      <c r="E61">
        <f t="shared" si="53"/>
        <v>0</v>
      </c>
      <c r="F61">
        <f t="shared" si="53"/>
        <v>1</v>
      </c>
      <c r="G61">
        <f t="shared" si="53"/>
        <v>0</v>
      </c>
      <c r="H61">
        <f t="shared" si="53"/>
        <v>0</v>
      </c>
      <c r="I61">
        <f t="shared" si="53"/>
        <v>1</v>
      </c>
      <c r="J61">
        <f t="shared" si="53"/>
        <v>0</v>
      </c>
      <c r="K61">
        <f t="shared" si="53"/>
        <v>1</v>
      </c>
      <c r="L61">
        <f t="shared" si="53"/>
        <v>0</v>
      </c>
      <c r="M61">
        <f t="shared" si="53"/>
        <v>0</v>
      </c>
      <c r="N61">
        <f t="shared" si="53"/>
        <v>0</v>
      </c>
      <c r="O61">
        <f t="shared" si="53"/>
        <v>0</v>
      </c>
      <c r="P61">
        <f t="shared" si="53"/>
        <v>0</v>
      </c>
      <c r="Q61">
        <f t="shared" si="53"/>
        <v>0</v>
      </c>
      <c r="R61">
        <f t="shared" si="53"/>
        <v>0</v>
      </c>
      <c r="S61">
        <f t="shared" si="53"/>
        <v>0</v>
      </c>
      <c r="T61">
        <f t="shared" si="53"/>
        <v>0</v>
      </c>
      <c r="U61">
        <f t="shared" si="53"/>
        <v>0</v>
      </c>
      <c r="V61">
        <f t="shared" si="53"/>
        <v>0</v>
      </c>
      <c r="W61">
        <f t="shared" si="53"/>
        <v>0</v>
      </c>
      <c r="X61">
        <f t="shared" si="53"/>
        <v>0</v>
      </c>
      <c r="Y61">
        <f t="shared" si="53"/>
        <v>0</v>
      </c>
      <c r="Z61">
        <f t="shared" si="53"/>
        <v>0</v>
      </c>
      <c r="AA61">
        <f t="shared" si="53"/>
        <v>0</v>
      </c>
      <c r="AB61">
        <f t="shared" si="53"/>
        <v>0</v>
      </c>
      <c r="AC61">
        <f t="shared" si="53"/>
        <v>0</v>
      </c>
      <c r="AD61">
        <f t="shared" si="53"/>
        <v>0</v>
      </c>
      <c r="AE61">
        <f t="shared" si="53"/>
        <v>0</v>
      </c>
      <c r="AF61">
        <f t="shared" si="53"/>
        <v>0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1</v>
      </c>
      <c r="D62">
        <f t="shared" si="53"/>
        <v>1</v>
      </c>
      <c r="E62">
        <f t="shared" si="53"/>
        <v>0</v>
      </c>
      <c r="F62">
        <f t="shared" si="53"/>
        <v>0</v>
      </c>
      <c r="G62">
        <f t="shared" si="53"/>
        <v>0</v>
      </c>
      <c r="H62">
        <f t="shared" si="53"/>
        <v>0</v>
      </c>
      <c r="I62">
        <f t="shared" si="53"/>
        <v>0</v>
      </c>
      <c r="J62">
        <f t="shared" si="53"/>
        <v>0</v>
      </c>
      <c r="K62">
        <f t="shared" si="53"/>
        <v>0</v>
      </c>
      <c r="L62">
        <f t="shared" si="53"/>
        <v>0</v>
      </c>
      <c r="M62">
        <f t="shared" si="53"/>
        <v>0</v>
      </c>
      <c r="N62">
        <f t="shared" si="53"/>
        <v>0</v>
      </c>
      <c r="O62">
        <f t="shared" si="53"/>
        <v>0</v>
      </c>
      <c r="P62">
        <f t="shared" si="53"/>
        <v>0</v>
      </c>
      <c r="Q62">
        <f t="shared" si="53"/>
        <v>0</v>
      </c>
      <c r="R62">
        <f t="shared" si="53"/>
        <v>0</v>
      </c>
      <c r="S62">
        <f t="shared" si="53"/>
        <v>0</v>
      </c>
      <c r="T62">
        <f t="shared" si="53"/>
        <v>0</v>
      </c>
      <c r="U62">
        <f t="shared" si="53"/>
        <v>0</v>
      </c>
      <c r="V62">
        <f t="shared" si="53"/>
        <v>0</v>
      </c>
      <c r="W62">
        <f t="shared" si="53"/>
        <v>0</v>
      </c>
      <c r="X62">
        <f t="shared" si="53"/>
        <v>0</v>
      </c>
      <c r="Y62">
        <f t="shared" si="53"/>
        <v>0</v>
      </c>
      <c r="Z62">
        <f t="shared" si="53"/>
        <v>0</v>
      </c>
      <c r="AA62">
        <f t="shared" si="53"/>
        <v>0</v>
      </c>
      <c r="AB62">
        <f t="shared" si="53"/>
        <v>0</v>
      </c>
      <c r="AC62">
        <f t="shared" si="53"/>
        <v>0</v>
      </c>
      <c r="AD62">
        <f t="shared" si="53"/>
        <v>0</v>
      </c>
      <c r="AE62">
        <f t="shared" si="53"/>
        <v>0</v>
      </c>
      <c r="AF62">
        <f t="shared" si="53"/>
        <v>0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0</v>
      </c>
      <c r="D63">
        <f t="shared" ref="D63:AY65" si="54">IF(OR($B12=MID(D12,1,1),$B12=MID(D12,2,1),$B12=MID(D12,3,1)),1,0)</f>
        <v>0</v>
      </c>
      <c r="E63">
        <f t="shared" si="54"/>
        <v>1</v>
      </c>
      <c r="F63">
        <f t="shared" si="54"/>
        <v>1</v>
      </c>
      <c r="G63">
        <f t="shared" si="54"/>
        <v>0</v>
      </c>
      <c r="H63">
        <f t="shared" si="54"/>
        <v>0</v>
      </c>
      <c r="I63">
        <f t="shared" si="54"/>
        <v>1</v>
      </c>
      <c r="J63">
        <f t="shared" si="54"/>
        <v>0</v>
      </c>
      <c r="K63">
        <f t="shared" si="54"/>
        <v>0</v>
      </c>
      <c r="L63">
        <f t="shared" si="54"/>
        <v>1</v>
      </c>
      <c r="M63">
        <f t="shared" si="54"/>
        <v>0</v>
      </c>
      <c r="N63">
        <f t="shared" si="54"/>
        <v>0</v>
      </c>
      <c r="O63">
        <f t="shared" si="54"/>
        <v>0</v>
      </c>
      <c r="P63">
        <f t="shared" si="54"/>
        <v>0</v>
      </c>
      <c r="Q63">
        <f t="shared" si="54"/>
        <v>0</v>
      </c>
      <c r="R63">
        <f t="shared" si="54"/>
        <v>0</v>
      </c>
      <c r="S63">
        <f t="shared" si="54"/>
        <v>0</v>
      </c>
      <c r="T63">
        <f t="shared" si="54"/>
        <v>0</v>
      </c>
      <c r="U63">
        <f t="shared" si="54"/>
        <v>0</v>
      </c>
      <c r="V63">
        <f t="shared" si="54"/>
        <v>0</v>
      </c>
      <c r="W63">
        <f t="shared" si="54"/>
        <v>0</v>
      </c>
      <c r="X63">
        <f t="shared" si="54"/>
        <v>0</v>
      </c>
      <c r="Y63">
        <f t="shared" si="54"/>
        <v>0</v>
      </c>
      <c r="Z63">
        <f t="shared" si="54"/>
        <v>0</v>
      </c>
      <c r="AA63">
        <f t="shared" si="54"/>
        <v>0</v>
      </c>
      <c r="AB63">
        <f t="shared" si="54"/>
        <v>0</v>
      </c>
      <c r="AC63">
        <f t="shared" si="54"/>
        <v>0</v>
      </c>
      <c r="AD63">
        <f t="shared" si="54"/>
        <v>0</v>
      </c>
      <c r="AE63">
        <f t="shared" si="54"/>
        <v>0</v>
      </c>
      <c r="AF63">
        <f t="shared" si="54"/>
        <v>0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0</v>
      </c>
      <c r="D64">
        <f t="shared" si="54"/>
        <v>0</v>
      </c>
      <c r="E64">
        <f t="shared" si="54"/>
        <v>0</v>
      </c>
      <c r="F64">
        <f t="shared" si="54"/>
        <v>0</v>
      </c>
      <c r="G64">
        <f t="shared" si="54"/>
        <v>0</v>
      </c>
      <c r="H64">
        <f t="shared" si="54"/>
        <v>0</v>
      </c>
      <c r="I64">
        <f t="shared" si="54"/>
        <v>1</v>
      </c>
      <c r="J64">
        <f t="shared" si="54"/>
        <v>1</v>
      </c>
      <c r="K64">
        <f t="shared" si="54"/>
        <v>1</v>
      </c>
      <c r="L64">
        <f t="shared" si="54"/>
        <v>1</v>
      </c>
      <c r="M64">
        <f t="shared" si="54"/>
        <v>0</v>
      </c>
      <c r="N64">
        <f t="shared" si="54"/>
        <v>0</v>
      </c>
      <c r="O64">
        <f t="shared" si="54"/>
        <v>0</v>
      </c>
      <c r="P64">
        <f t="shared" si="54"/>
        <v>0</v>
      </c>
      <c r="Q64">
        <f t="shared" si="54"/>
        <v>0</v>
      </c>
      <c r="R64">
        <f t="shared" si="54"/>
        <v>0</v>
      </c>
      <c r="S64">
        <f t="shared" si="54"/>
        <v>0</v>
      </c>
      <c r="T64">
        <f t="shared" si="54"/>
        <v>0</v>
      </c>
      <c r="U64">
        <f t="shared" si="54"/>
        <v>0</v>
      </c>
      <c r="V64">
        <f t="shared" si="54"/>
        <v>0</v>
      </c>
      <c r="W64">
        <f t="shared" si="54"/>
        <v>0</v>
      </c>
      <c r="X64">
        <f t="shared" si="54"/>
        <v>0</v>
      </c>
      <c r="Y64">
        <f t="shared" si="54"/>
        <v>0</v>
      </c>
      <c r="Z64">
        <f t="shared" si="54"/>
        <v>0</v>
      </c>
      <c r="AA64">
        <f t="shared" si="54"/>
        <v>0</v>
      </c>
      <c r="AB64">
        <f t="shared" si="54"/>
        <v>0</v>
      </c>
      <c r="AC64">
        <f t="shared" si="54"/>
        <v>0</v>
      </c>
      <c r="AD64">
        <f t="shared" si="54"/>
        <v>0</v>
      </c>
      <c r="AE64">
        <f t="shared" si="54"/>
        <v>0</v>
      </c>
      <c r="AF64">
        <f t="shared" si="54"/>
        <v>0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1</v>
      </c>
      <c r="D65">
        <f t="shared" si="54"/>
        <v>1</v>
      </c>
      <c r="E65">
        <f t="shared" si="54"/>
        <v>0</v>
      </c>
      <c r="F65">
        <f t="shared" si="54"/>
        <v>1</v>
      </c>
      <c r="G65">
        <f t="shared" si="54"/>
        <v>0</v>
      </c>
      <c r="H65">
        <f t="shared" si="54"/>
        <v>0</v>
      </c>
      <c r="I65">
        <f t="shared" si="54"/>
        <v>0</v>
      </c>
      <c r="J65">
        <f t="shared" si="54"/>
        <v>0</v>
      </c>
      <c r="K65">
        <f t="shared" si="54"/>
        <v>0</v>
      </c>
      <c r="L65">
        <f t="shared" si="54"/>
        <v>0</v>
      </c>
      <c r="M65">
        <f t="shared" si="54"/>
        <v>0</v>
      </c>
      <c r="N65">
        <f t="shared" si="54"/>
        <v>0</v>
      </c>
      <c r="O65">
        <f t="shared" si="54"/>
        <v>0</v>
      </c>
      <c r="P65">
        <f t="shared" si="54"/>
        <v>0</v>
      </c>
      <c r="Q65">
        <f t="shared" si="54"/>
        <v>0</v>
      </c>
      <c r="R65">
        <f t="shared" si="54"/>
        <v>0</v>
      </c>
      <c r="S65">
        <f t="shared" si="54"/>
        <v>0</v>
      </c>
      <c r="T65">
        <f t="shared" si="54"/>
        <v>0</v>
      </c>
      <c r="U65">
        <f t="shared" si="54"/>
        <v>0</v>
      </c>
      <c r="V65">
        <f t="shared" si="54"/>
        <v>0</v>
      </c>
      <c r="W65">
        <f t="shared" si="54"/>
        <v>0</v>
      </c>
      <c r="X65">
        <f t="shared" si="54"/>
        <v>0</v>
      </c>
      <c r="Y65">
        <f t="shared" si="54"/>
        <v>0</v>
      </c>
      <c r="Z65">
        <f t="shared" si="54"/>
        <v>0</v>
      </c>
      <c r="AA65">
        <f t="shared" si="54"/>
        <v>0</v>
      </c>
      <c r="AB65">
        <f t="shared" si="54"/>
        <v>0</v>
      </c>
      <c r="AC65">
        <f t="shared" si="54"/>
        <v>0</v>
      </c>
      <c r="AD65">
        <f t="shared" si="54"/>
        <v>0</v>
      </c>
      <c r="AE65">
        <f t="shared" si="54"/>
        <v>0</v>
      </c>
      <c r="AF65">
        <f t="shared" si="54"/>
        <v>0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5" priority="9" operator="equal">
      <formula>"erro"</formula>
    </cfRule>
  </conditionalFormatting>
  <conditionalFormatting sqref="A18">
    <cfRule type="cellIs" dxfId="4" priority="8" operator="equal">
      <formula>"erro"</formula>
    </cfRule>
  </conditionalFormatting>
  <conditionalFormatting sqref="B1 B15:B1048576">
    <cfRule type="cellIs" dxfId="3" priority="1" operator="equal">
      <formula>"erro"</formula>
    </cfRule>
  </conditionalFormatting>
  <conditionalFormatting sqref="B18:XFD18">
    <cfRule type="cellIs" dxfId="2" priority="310" stopIfTrue="1" operator="greaterThan">
      <formula>9</formula>
    </cfRule>
  </conditionalFormatting>
  <conditionalFormatting sqref="C18:AF18">
    <cfRule type="cellIs" dxfId="1" priority="4" operator="equal">
      <formula>9</formula>
    </cfRule>
  </conditionalFormatting>
  <conditionalFormatting sqref="AG2:AT14">
    <cfRule type="cellIs" dxfId="0" priority="10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18"/>
  <sheetViews>
    <sheetView tabSelected="1" workbookViewId="0">
      <selection activeCell="X12" sqref="X12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9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4" t="s">
        <v>31</v>
      </c>
      <c r="U1" s="44"/>
      <c r="V1" s="44"/>
      <c r="W1" s="44"/>
      <c r="X1" s="38" t="s">
        <v>33</v>
      </c>
      <c r="Y1" s="40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38" t="s">
        <v>34</v>
      </c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1">
        <f t="shared" ref="N3:O16" si="1">($Q3*N$2/100*-1)+($R3*N$2/100)</f>
        <v>-0.15</v>
      </c>
      <c r="O3" s="31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 t="shared" ref="S3:S11" si="2">R3-Q3</f>
        <v>-15</v>
      </c>
      <c r="T3" s="24">
        <v>0</v>
      </c>
      <c r="U3" s="24">
        <v>1</v>
      </c>
      <c r="V3" s="24">
        <v>7</v>
      </c>
      <c r="W3" s="24">
        <v>130</v>
      </c>
      <c r="X3" s="34">
        <v>8</v>
      </c>
    </row>
    <row r="4" spans="1:25" ht="18" x14ac:dyDescent="0.35">
      <c r="A4" s="29" t="s">
        <v>30</v>
      </c>
      <c r="B4" s="31">
        <v>0</v>
      </c>
      <c r="C4" s="31">
        <v>0</v>
      </c>
      <c r="D4" s="31">
        <f t="shared" ref="C4:M16" si="3">($Q4*D$2/100*-1)+($R4*D$2/100)</f>
        <v>-0.25</v>
      </c>
      <c r="E4" s="31">
        <f t="shared" si="3"/>
        <v>-0.25</v>
      </c>
      <c r="F4" s="31">
        <f t="shared" si="3"/>
        <v>-0.25</v>
      </c>
      <c r="G4" s="31">
        <f t="shared" si="3"/>
        <v>-0.25</v>
      </c>
      <c r="H4" s="31">
        <f t="shared" si="3"/>
        <v>-0.2</v>
      </c>
      <c r="I4" s="31">
        <f t="shared" si="3"/>
        <v>-0.1</v>
      </c>
      <c r="J4" s="31">
        <f t="shared" si="3"/>
        <v>-0.1</v>
      </c>
      <c r="K4" s="31">
        <f t="shared" si="3"/>
        <v>-0.1</v>
      </c>
      <c r="L4" s="31">
        <f t="shared" si="3"/>
        <v>-0.1</v>
      </c>
      <c r="M4" s="31">
        <f t="shared" si="3"/>
        <v>-0.1</v>
      </c>
      <c r="N4" s="31">
        <f t="shared" si="1"/>
        <v>-0.1</v>
      </c>
      <c r="O4" s="31">
        <f t="shared" si="1"/>
        <v>-0.1</v>
      </c>
      <c r="P4" s="25">
        <f t="shared" ref="P4:P16" si="4">SUM(B4:O4)</f>
        <v>-1.9000000000000006</v>
      </c>
      <c r="Q4" s="31">
        <v>10</v>
      </c>
      <c r="R4" s="31">
        <v>0</v>
      </c>
      <c r="S4" s="24">
        <f t="shared" si="2"/>
        <v>-10</v>
      </c>
      <c r="T4" s="24">
        <v>0</v>
      </c>
      <c r="U4" s="24">
        <v>0</v>
      </c>
      <c r="V4" s="24">
        <v>0</v>
      </c>
      <c r="W4" s="24">
        <v>5</v>
      </c>
      <c r="X4" s="34">
        <v>7</v>
      </c>
    </row>
    <row r="5" spans="1:25" ht="18" x14ac:dyDescent="0.35">
      <c r="A5" s="29" t="s">
        <v>32</v>
      </c>
      <c r="B5" s="31">
        <v>0</v>
      </c>
      <c r="C5" s="31">
        <v>0</v>
      </c>
      <c r="D5" s="24">
        <f t="shared" si="3"/>
        <v>-0.375</v>
      </c>
      <c r="E5" s="24">
        <f t="shared" si="3"/>
        <v>-0.375</v>
      </c>
      <c r="F5" s="24">
        <f t="shared" si="3"/>
        <v>-0.375</v>
      </c>
      <c r="G5" s="24">
        <f t="shared" si="3"/>
        <v>-0.375</v>
      </c>
      <c r="H5" s="24">
        <f t="shared" si="3"/>
        <v>-0.3</v>
      </c>
      <c r="I5" s="24">
        <f t="shared" si="3"/>
        <v>-0.15</v>
      </c>
      <c r="J5" s="24">
        <f t="shared" si="3"/>
        <v>-0.15</v>
      </c>
      <c r="K5" s="24">
        <f t="shared" si="3"/>
        <v>-0.15</v>
      </c>
      <c r="L5" s="24">
        <f t="shared" si="3"/>
        <v>-0.15</v>
      </c>
      <c r="M5" s="24">
        <f t="shared" si="3"/>
        <v>-0.15</v>
      </c>
      <c r="N5" s="31">
        <f t="shared" si="1"/>
        <v>-0.15</v>
      </c>
      <c r="O5" s="31">
        <f t="shared" si="1"/>
        <v>-0.15</v>
      </c>
      <c r="P5" s="25">
        <f t="shared" si="4"/>
        <v>-2.8499999999999996</v>
      </c>
      <c r="Q5" s="24">
        <v>15</v>
      </c>
      <c r="R5" s="24">
        <v>0</v>
      </c>
      <c r="S5" s="24">
        <f t="shared" si="2"/>
        <v>-15</v>
      </c>
      <c r="T5" s="24">
        <v>1</v>
      </c>
      <c r="U5" s="24">
        <v>1</v>
      </c>
      <c r="V5" s="24">
        <v>52</v>
      </c>
      <c r="W5" s="24">
        <v>650</v>
      </c>
      <c r="X5" s="34">
        <v>9</v>
      </c>
      <c r="Y5" s="39" t="s">
        <v>35</v>
      </c>
    </row>
    <row r="6" spans="1:25" ht="18" x14ac:dyDescent="0.35">
      <c r="A6" s="29" t="s">
        <v>39</v>
      </c>
      <c r="B6" s="31">
        <v>0</v>
      </c>
      <c r="C6" s="31">
        <v>0</v>
      </c>
      <c r="D6" s="31">
        <f t="shared" si="3"/>
        <v>-0.375</v>
      </c>
      <c r="E6" s="31">
        <f t="shared" si="3"/>
        <v>-0.375</v>
      </c>
      <c r="F6" s="31">
        <f t="shared" si="3"/>
        <v>-0.375</v>
      </c>
      <c r="G6" s="31">
        <f t="shared" si="3"/>
        <v>-0.375</v>
      </c>
      <c r="H6" s="31">
        <f t="shared" si="3"/>
        <v>-0.3</v>
      </c>
      <c r="I6" s="31">
        <f t="shared" si="3"/>
        <v>-0.15</v>
      </c>
      <c r="J6" s="31">
        <f t="shared" si="3"/>
        <v>-0.15</v>
      </c>
      <c r="K6" s="31">
        <f t="shared" si="3"/>
        <v>-0.15</v>
      </c>
      <c r="L6" s="31">
        <f t="shared" si="3"/>
        <v>-0.15</v>
      </c>
      <c r="M6" s="31">
        <f t="shared" si="3"/>
        <v>-0.15</v>
      </c>
      <c r="N6" s="31">
        <f t="shared" si="1"/>
        <v>-0.15</v>
      </c>
      <c r="O6" s="31">
        <f t="shared" si="1"/>
        <v>-0.15</v>
      </c>
      <c r="P6" s="25">
        <f t="shared" si="4"/>
        <v>-2.8499999999999996</v>
      </c>
      <c r="Q6" s="31">
        <v>15</v>
      </c>
      <c r="R6" s="31">
        <v>0</v>
      </c>
      <c r="S6" s="24">
        <f t="shared" si="2"/>
        <v>-15</v>
      </c>
      <c r="T6" s="24">
        <v>1</v>
      </c>
      <c r="U6" s="24">
        <v>4</v>
      </c>
      <c r="V6" s="24">
        <v>122</v>
      </c>
      <c r="W6" s="24">
        <v>1335</v>
      </c>
      <c r="X6" s="34">
        <v>9</v>
      </c>
      <c r="Y6" s="39" t="s">
        <v>40</v>
      </c>
    </row>
    <row r="7" spans="1:25" ht="18" x14ac:dyDescent="0.35">
      <c r="A7" s="29" t="s">
        <v>42</v>
      </c>
      <c r="B7" s="24">
        <v>0</v>
      </c>
      <c r="C7" s="24">
        <v>0</v>
      </c>
      <c r="D7" s="24">
        <f t="shared" si="3"/>
        <v>-0.375</v>
      </c>
      <c r="E7" s="24">
        <f t="shared" si="3"/>
        <v>-0.375</v>
      </c>
      <c r="F7" s="24">
        <f t="shared" si="3"/>
        <v>-0.375</v>
      </c>
      <c r="G7" s="24">
        <f t="shared" si="3"/>
        <v>-0.375</v>
      </c>
      <c r="H7" s="24">
        <f t="shared" si="3"/>
        <v>-0.3</v>
      </c>
      <c r="I7" s="24">
        <f t="shared" si="3"/>
        <v>-0.15</v>
      </c>
      <c r="J7" s="24">
        <f t="shared" si="3"/>
        <v>-0.15</v>
      </c>
      <c r="K7" s="24">
        <f t="shared" si="3"/>
        <v>-0.15</v>
      </c>
      <c r="L7" s="24">
        <f t="shared" si="3"/>
        <v>-0.15</v>
      </c>
      <c r="M7" s="24">
        <f t="shared" si="3"/>
        <v>-0.15</v>
      </c>
      <c r="N7" s="31">
        <f t="shared" si="1"/>
        <v>-0.15</v>
      </c>
      <c r="O7" s="31">
        <f t="shared" si="1"/>
        <v>-0.15</v>
      </c>
      <c r="P7" s="25">
        <f t="shared" si="4"/>
        <v>-2.8499999999999996</v>
      </c>
      <c r="Q7" s="24">
        <v>15</v>
      </c>
      <c r="R7" s="24">
        <v>0</v>
      </c>
      <c r="S7" s="24">
        <f t="shared" si="2"/>
        <v>-15</v>
      </c>
      <c r="T7" s="24">
        <v>0</v>
      </c>
      <c r="U7" s="24">
        <v>0</v>
      </c>
      <c r="V7" s="24">
        <v>0</v>
      </c>
      <c r="W7" s="24">
        <v>12</v>
      </c>
      <c r="X7" s="34" t="s">
        <v>43</v>
      </c>
    </row>
    <row r="8" spans="1:25" ht="18" x14ac:dyDescent="0.35">
      <c r="A8" s="29" t="s">
        <v>44</v>
      </c>
      <c r="B8" s="31">
        <v>0</v>
      </c>
      <c r="C8" s="31">
        <v>0</v>
      </c>
      <c r="D8" s="31">
        <f t="shared" si="3"/>
        <v>-0.375</v>
      </c>
      <c r="E8" s="31">
        <f t="shared" si="3"/>
        <v>-0.375</v>
      </c>
      <c r="F8" s="31">
        <f t="shared" si="3"/>
        <v>-0.375</v>
      </c>
      <c r="G8" s="31">
        <f t="shared" si="3"/>
        <v>-0.375</v>
      </c>
      <c r="H8" s="31">
        <f t="shared" si="3"/>
        <v>-0.3</v>
      </c>
      <c r="I8" s="31">
        <f t="shared" si="3"/>
        <v>-0.15</v>
      </c>
      <c r="J8" s="31">
        <f t="shared" si="3"/>
        <v>-0.15</v>
      </c>
      <c r="K8" s="31">
        <f t="shared" si="3"/>
        <v>-0.15</v>
      </c>
      <c r="L8" s="31">
        <f t="shared" si="3"/>
        <v>-0.15</v>
      </c>
      <c r="M8" s="31">
        <f t="shared" si="3"/>
        <v>-0.15</v>
      </c>
      <c r="N8" s="31">
        <f t="shared" si="1"/>
        <v>-0.15</v>
      </c>
      <c r="O8" s="31">
        <f t="shared" si="1"/>
        <v>-0.15</v>
      </c>
      <c r="P8" s="25">
        <f t="shared" si="4"/>
        <v>-2.8499999999999996</v>
      </c>
      <c r="Q8" s="31">
        <v>15</v>
      </c>
      <c r="R8" s="31">
        <v>0</v>
      </c>
      <c r="S8" s="31">
        <f t="shared" si="2"/>
        <v>-15</v>
      </c>
      <c r="T8" s="24">
        <v>0</v>
      </c>
      <c r="U8" s="24">
        <v>0</v>
      </c>
      <c r="V8" s="24">
        <v>1</v>
      </c>
      <c r="W8" s="24">
        <v>21</v>
      </c>
      <c r="X8" s="34" t="s">
        <v>45</v>
      </c>
    </row>
    <row r="9" spans="1:25" ht="18" x14ac:dyDescent="0.35">
      <c r="A9" s="29" t="s">
        <v>46</v>
      </c>
      <c r="B9" s="24">
        <v>0</v>
      </c>
      <c r="C9" s="24">
        <v>0</v>
      </c>
      <c r="D9" s="24">
        <f t="shared" si="3"/>
        <v>-0.125</v>
      </c>
      <c r="E9" s="24">
        <f t="shared" si="3"/>
        <v>-0.125</v>
      </c>
      <c r="F9" s="24">
        <f t="shared" si="3"/>
        <v>-0.125</v>
      </c>
      <c r="G9" s="24">
        <f t="shared" si="3"/>
        <v>-0.125</v>
      </c>
      <c r="H9" s="24">
        <f t="shared" si="3"/>
        <v>-0.1</v>
      </c>
      <c r="I9" s="24">
        <f t="shared" si="3"/>
        <v>-0.05</v>
      </c>
      <c r="J9" s="24">
        <f t="shared" si="3"/>
        <v>-0.05</v>
      </c>
      <c r="K9" s="24">
        <f t="shared" si="3"/>
        <v>-0.05</v>
      </c>
      <c r="L9" s="24">
        <f t="shared" si="3"/>
        <v>-0.05</v>
      </c>
      <c r="M9" s="24">
        <f t="shared" si="3"/>
        <v>-0.05</v>
      </c>
      <c r="N9" s="31">
        <f t="shared" si="1"/>
        <v>-0.05</v>
      </c>
      <c r="O9" s="31">
        <f t="shared" si="1"/>
        <v>-0.05</v>
      </c>
      <c r="P9" s="25">
        <f t="shared" si="4"/>
        <v>-0.95000000000000029</v>
      </c>
      <c r="Q9" s="24">
        <v>5</v>
      </c>
      <c r="R9" s="24">
        <v>0</v>
      </c>
      <c r="S9" s="24">
        <f t="shared" si="2"/>
        <v>-5</v>
      </c>
      <c r="T9" s="24">
        <v>0</v>
      </c>
      <c r="U9" s="24">
        <v>0</v>
      </c>
      <c r="V9" s="24">
        <v>9</v>
      </c>
      <c r="W9" s="24">
        <v>143</v>
      </c>
      <c r="X9" s="34">
        <v>8</v>
      </c>
    </row>
    <row r="10" spans="1:25" ht="18" x14ac:dyDescent="0.35">
      <c r="A10" s="29" t="s">
        <v>47</v>
      </c>
      <c r="B10" s="31">
        <v>0</v>
      </c>
      <c r="C10" s="31">
        <v>0</v>
      </c>
      <c r="D10" s="31">
        <f t="shared" si="3"/>
        <v>-0.375</v>
      </c>
      <c r="E10" s="31">
        <f t="shared" si="3"/>
        <v>-0.375</v>
      </c>
      <c r="F10" s="31">
        <f t="shared" si="3"/>
        <v>-0.375</v>
      </c>
      <c r="G10" s="31">
        <f t="shared" si="3"/>
        <v>-0.375</v>
      </c>
      <c r="H10" s="31">
        <f t="shared" si="3"/>
        <v>-0.3</v>
      </c>
      <c r="I10" s="31">
        <f t="shared" si="3"/>
        <v>-0.15</v>
      </c>
      <c r="J10" s="31">
        <f t="shared" si="3"/>
        <v>-0.15</v>
      </c>
      <c r="K10" s="31">
        <f t="shared" si="3"/>
        <v>-0.15</v>
      </c>
      <c r="L10" s="31">
        <f t="shared" si="3"/>
        <v>-0.15</v>
      </c>
      <c r="M10" s="31">
        <f t="shared" si="3"/>
        <v>-0.15</v>
      </c>
      <c r="N10" s="31">
        <f t="shared" si="1"/>
        <v>-0.15</v>
      </c>
      <c r="O10" s="31">
        <f t="shared" si="1"/>
        <v>-0.15</v>
      </c>
      <c r="P10" s="25">
        <f t="shared" si="4"/>
        <v>-2.8499999999999996</v>
      </c>
      <c r="Q10" s="31">
        <v>15</v>
      </c>
      <c r="R10" s="31">
        <v>0</v>
      </c>
      <c r="S10" s="31">
        <f t="shared" si="2"/>
        <v>-15</v>
      </c>
      <c r="T10" s="24">
        <v>25</v>
      </c>
      <c r="U10" s="24">
        <v>70</v>
      </c>
      <c r="V10" s="24">
        <v>895</v>
      </c>
      <c r="W10" s="24">
        <v>5122</v>
      </c>
      <c r="X10" s="34" t="s">
        <v>48</v>
      </c>
      <c r="Y10" t="s">
        <v>49</v>
      </c>
    </row>
    <row r="11" spans="1:25" ht="18" x14ac:dyDescent="0.35">
      <c r="A11" s="29" t="s">
        <v>50</v>
      </c>
      <c r="B11" s="24">
        <v>0</v>
      </c>
      <c r="C11" s="24">
        <v>0</v>
      </c>
      <c r="D11" s="24">
        <f t="shared" si="3"/>
        <v>-0.125</v>
      </c>
      <c r="E11" s="24">
        <f t="shared" si="3"/>
        <v>-0.125</v>
      </c>
      <c r="F11" s="24">
        <f t="shared" si="3"/>
        <v>-0.125</v>
      </c>
      <c r="G11" s="24">
        <f t="shared" si="3"/>
        <v>-0.125</v>
      </c>
      <c r="H11" s="24">
        <f t="shared" si="3"/>
        <v>-0.1</v>
      </c>
      <c r="I11" s="24">
        <f t="shared" si="3"/>
        <v>-0.05</v>
      </c>
      <c r="J11" s="24">
        <f t="shared" si="3"/>
        <v>-0.05</v>
      </c>
      <c r="K11" s="24">
        <f t="shared" si="3"/>
        <v>-0.05</v>
      </c>
      <c r="L11" s="24">
        <f t="shared" si="3"/>
        <v>-0.05</v>
      </c>
      <c r="M11" s="24">
        <f t="shared" si="3"/>
        <v>-0.05</v>
      </c>
      <c r="N11" s="31">
        <f t="shared" si="1"/>
        <v>-0.05</v>
      </c>
      <c r="O11" s="31">
        <f t="shared" si="1"/>
        <v>-0.05</v>
      </c>
      <c r="P11" s="25">
        <f t="shared" si="4"/>
        <v>-0.95000000000000029</v>
      </c>
      <c r="Q11" s="24">
        <v>5</v>
      </c>
      <c r="R11" s="24">
        <v>0</v>
      </c>
      <c r="S11" s="24">
        <f t="shared" si="2"/>
        <v>-5</v>
      </c>
      <c r="T11" s="24">
        <v>0</v>
      </c>
      <c r="U11" s="24">
        <v>0</v>
      </c>
      <c r="V11" s="24">
        <v>2</v>
      </c>
      <c r="W11" s="24">
        <v>55</v>
      </c>
      <c r="X11" s="34">
        <v>6</v>
      </c>
    </row>
    <row r="12" spans="1:25" ht="18" x14ac:dyDescent="0.35">
      <c r="A12" s="30"/>
      <c r="B12" s="31">
        <f t="shared" ref="B11:B16" si="5">($Q12*$B$2/100*-1)+($R12*$B$2/100)</f>
        <v>0</v>
      </c>
      <c r="C12" s="31">
        <f t="shared" si="3"/>
        <v>0</v>
      </c>
      <c r="D12" s="31">
        <f t="shared" si="3"/>
        <v>0</v>
      </c>
      <c r="E12" s="31">
        <f t="shared" si="3"/>
        <v>0</v>
      </c>
      <c r="F12" s="31">
        <f t="shared" si="3"/>
        <v>0</v>
      </c>
      <c r="G12" s="31">
        <f t="shared" si="3"/>
        <v>0</v>
      </c>
      <c r="H12" s="31">
        <f t="shared" si="3"/>
        <v>0</v>
      </c>
      <c r="I12" s="31">
        <f t="shared" si="3"/>
        <v>0</v>
      </c>
      <c r="J12" s="31">
        <f t="shared" si="3"/>
        <v>0</v>
      </c>
      <c r="K12" s="31">
        <f t="shared" si="3"/>
        <v>0</v>
      </c>
      <c r="L12" s="31">
        <f t="shared" si="3"/>
        <v>0</v>
      </c>
      <c r="M12" s="31">
        <f t="shared" si="3"/>
        <v>0</v>
      </c>
      <c r="N12" s="31">
        <f t="shared" si="1"/>
        <v>0</v>
      </c>
      <c r="O12" s="31">
        <f t="shared" si="1"/>
        <v>0</v>
      </c>
      <c r="P12" s="25">
        <f t="shared" si="4"/>
        <v>0</v>
      </c>
      <c r="Q12" s="31"/>
      <c r="R12" s="31"/>
      <c r="S12" s="31"/>
      <c r="T12" s="24"/>
      <c r="U12" s="24"/>
      <c r="V12" s="24"/>
      <c r="W12" s="24"/>
      <c r="X12" s="34"/>
    </row>
    <row r="13" spans="1:25" ht="18" x14ac:dyDescent="0.35">
      <c r="A13" s="29"/>
      <c r="B13" s="24">
        <f t="shared" si="5"/>
        <v>0</v>
      </c>
      <c r="C13" s="24">
        <f t="shared" si="3"/>
        <v>0</v>
      </c>
      <c r="D13" s="24">
        <f t="shared" si="3"/>
        <v>0</v>
      </c>
      <c r="E13" s="24">
        <f t="shared" si="3"/>
        <v>0</v>
      </c>
      <c r="F13" s="24">
        <f t="shared" si="3"/>
        <v>0</v>
      </c>
      <c r="G13" s="24">
        <f t="shared" si="3"/>
        <v>0</v>
      </c>
      <c r="H13" s="24">
        <f t="shared" si="3"/>
        <v>0</v>
      </c>
      <c r="I13" s="24">
        <f t="shared" si="3"/>
        <v>0</v>
      </c>
      <c r="J13" s="24">
        <f t="shared" si="3"/>
        <v>0</v>
      </c>
      <c r="K13" s="24">
        <f t="shared" si="3"/>
        <v>0</v>
      </c>
      <c r="L13" s="24">
        <f t="shared" si="3"/>
        <v>0</v>
      </c>
      <c r="M13" s="24">
        <f t="shared" si="3"/>
        <v>0</v>
      </c>
      <c r="N13" s="31">
        <f t="shared" si="1"/>
        <v>0</v>
      </c>
      <c r="O13" s="31">
        <f t="shared" si="1"/>
        <v>0</v>
      </c>
      <c r="P13" s="25">
        <f t="shared" si="4"/>
        <v>0</v>
      </c>
      <c r="Q13" s="24"/>
      <c r="R13" s="24"/>
      <c r="S13" s="24"/>
      <c r="T13" s="24"/>
      <c r="U13" s="24"/>
      <c r="V13" s="24"/>
      <c r="W13" s="24"/>
      <c r="X13" s="34"/>
    </row>
    <row r="14" spans="1:25" ht="18" x14ac:dyDescent="0.35">
      <c r="A14" s="30"/>
      <c r="B14" s="31">
        <f t="shared" si="5"/>
        <v>0</v>
      </c>
      <c r="C14" s="31">
        <f t="shared" si="3"/>
        <v>0</v>
      </c>
      <c r="D14" s="31">
        <f t="shared" si="3"/>
        <v>0</v>
      </c>
      <c r="E14" s="31">
        <f t="shared" si="3"/>
        <v>0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31">
        <f t="shared" si="1"/>
        <v>0</v>
      </c>
      <c r="O14" s="31">
        <f t="shared" si="1"/>
        <v>0</v>
      </c>
      <c r="P14" s="25">
        <f t="shared" si="4"/>
        <v>0</v>
      </c>
      <c r="Q14" s="31"/>
      <c r="R14" s="31"/>
      <c r="S14" s="31"/>
      <c r="T14" s="24"/>
      <c r="U14" s="24"/>
      <c r="V14" s="24"/>
      <c r="W14" s="24"/>
      <c r="X14" s="34"/>
    </row>
    <row r="15" spans="1:25" ht="18" x14ac:dyDescent="0.35">
      <c r="A15" s="29"/>
      <c r="B15" s="24">
        <f t="shared" si="5"/>
        <v>0</v>
      </c>
      <c r="C15" s="24">
        <f t="shared" si="3"/>
        <v>0</v>
      </c>
      <c r="D15" s="24">
        <f t="shared" si="3"/>
        <v>0</v>
      </c>
      <c r="E15" s="24">
        <f t="shared" si="3"/>
        <v>0</v>
      </c>
      <c r="F15" s="24">
        <f t="shared" si="3"/>
        <v>0</v>
      </c>
      <c r="G15" s="24">
        <f t="shared" si="3"/>
        <v>0</v>
      </c>
      <c r="H15" s="24">
        <f t="shared" si="3"/>
        <v>0</v>
      </c>
      <c r="I15" s="24">
        <f t="shared" si="3"/>
        <v>0</v>
      </c>
      <c r="J15" s="24">
        <f t="shared" si="3"/>
        <v>0</v>
      </c>
      <c r="K15" s="24">
        <f t="shared" si="3"/>
        <v>0</v>
      </c>
      <c r="L15" s="24">
        <f t="shared" si="3"/>
        <v>0</v>
      </c>
      <c r="M15" s="24">
        <f t="shared" si="3"/>
        <v>0</v>
      </c>
      <c r="N15" s="31">
        <f t="shared" si="1"/>
        <v>0</v>
      </c>
      <c r="O15" s="31">
        <f t="shared" si="1"/>
        <v>0</v>
      </c>
      <c r="P15" s="25">
        <f t="shared" si="4"/>
        <v>0</v>
      </c>
      <c r="Q15" s="24"/>
      <c r="R15" s="24"/>
      <c r="S15" s="24"/>
      <c r="T15" s="24"/>
      <c r="U15" s="24"/>
      <c r="V15" s="24"/>
      <c r="W15" s="24"/>
      <c r="X15" s="34"/>
    </row>
    <row r="16" spans="1:25" ht="18" x14ac:dyDescent="0.35">
      <c r="A16" s="30"/>
      <c r="B16" s="31">
        <f t="shared" si="5"/>
        <v>0</v>
      </c>
      <c r="C16" s="31">
        <f t="shared" si="3"/>
        <v>0</v>
      </c>
      <c r="D16" s="31">
        <f t="shared" si="3"/>
        <v>0</v>
      </c>
      <c r="E16" s="31">
        <f t="shared" si="3"/>
        <v>0</v>
      </c>
      <c r="F16" s="31">
        <f t="shared" si="3"/>
        <v>0</v>
      </c>
      <c r="G16" s="31">
        <f t="shared" si="3"/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  <c r="M16" s="31">
        <f t="shared" si="3"/>
        <v>0</v>
      </c>
      <c r="N16" s="31">
        <f t="shared" si="1"/>
        <v>0</v>
      </c>
      <c r="O16" s="31">
        <f t="shared" si="1"/>
        <v>0</v>
      </c>
      <c r="P16" s="25">
        <f t="shared" si="4"/>
        <v>0</v>
      </c>
      <c r="Q16" s="31"/>
      <c r="R16" s="31"/>
      <c r="S16" s="31"/>
      <c r="T16" s="24"/>
      <c r="U16" s="24"/>
      <c r="V16" s="24"/>
      <c r="W16" s="24"/>
      <c r="X16" s="34"/>
    </row>
    <row r="17" spans="1:24" ht="18" x14ac:dyDescent="0.35">
      <c r="A17" s="28" t="s">
        <v>23</v>
      </c>
      <c r="B17" s="25">
        <f>SUM(B3:B15)</f>
        <v>0</v>
      </c>
      <c r="C17" s="25">
        <f t="shared" ref="C17:O17" si="6">SUM(C3:C15)</f>
        <v>0</v>
      </c>
      <c r="D17" s="25">
        <f t="shared" si="6"/>
        <v>-2.75</v>
      </c>
      <c r="E17" s="25">
        <f t="shared" si="6"/>
        <v>-2.75</v>
      </c>
      <c r="F17" s="25">
        <f t="shared" si="6"/>
        <v>-2.75</v>
      </c>
      <c r="G17" s="25">
        <f t="shared" si="6"/>
        <v>-2.75</v>
      </c>
      <c r="H17" s="25">
        <f t="shared" si="6"/>
        <v>-2.2000000000000002</v>
      </c>
      <c r="I17" s="25">
        <f t="shared" si="6"/>
        <v>-1.1000000000000001</v>
      </c>
      <c r="J17" s="25">
        <f t="shared" si="6"/>
        <v>-1.1000000000000001</v>
      </c>
      <c r="K17" s="25">
        <f t="shared" si="6"/>
        <v>-1.1000000000000001</v>
      </c>
      <c r="L17" s="25">
        <f t="shared" si="6"/>
        <v>-1.1000000000000001</v>
      </c>
      <c r="M17" s="25">
        <f t="shared" si="6"/>
        <v>-1.1000000000000001</v>
      </c>
      <c r="N17" s="25">
        <f t="shared" si="6"/>
        <v>-1.1000000000000001</v>
      </c>
      <c r="O17" s="25">
        <f t="shared" si="6"/>
        <v>-1.1000000000000001</v>
      </c>
      <c r="P17" s="25">
        <f>SUM(B17:O17)</f>
        <v>-20.900000000000006</v>
      </c>
      <c r="Q17" s="24">
        <f>SUM(Q3:Q16)</f>
        <v>110</v>
      </c>
      <c r="R17" s="24">
        <f>SUM(R3:R16)</f>
        <v>0</v>
      </c>
      <c r="S17" s="24">
        <f t="shared" ref="S17" si="7">R17-Q17</f>
        <v>-110</v>
      </c>
      <c r="T17" s="24"/>
      <c r="U17" s="24"/>
      <c r="V17" s="24"/>
      <c r="W17" s="24"/>
      <c r="X17" s="34"/>
    </row>
    <row r="18" spans="1:24" ht="18" x14ac:dyDescent="0.35">
      <c r="A18" s="23"/>
      <c r="P18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2026-03-03T16:14:24Z</dcterms:modified>
</cp:coreProperties>
</file>