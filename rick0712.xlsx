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EsteLivro" defaultThemeVersion="166925"/>
  <mc:AlternateContent xmlns:mc="http://schemas.openxmlformats.org/markup-compatibility/2006">
    <mc:Choice Requires="x15">
      <x15ac:absPath xmlns:x15ac="http://schemas.microsoft.com/office/spreadsheetml/2010/11/ac" url="C:\Geral\TOTO\"/>
    </mc:Choice>
  </mc:AlternateContent>
  <xr:revisionPtr revIDLastSave="0" documentId="13_ncr:1_{84524870-B269-4B24-8D5E-FE64010E6EF4}" xr6:coauthVersionLast="47" xr6:coauthVersionMax="47" xr10:uidLastSave="{00000000-0000-0000-0000-000000000000}"/>
  <bookViews>
    <workbookView xWindow="-108" yWindow="-108" windowWidth="23256" windowHeight="12456" xr2:uid="{1B8A2CFD-96BE-458B-8F51-420ABF64674F}"/>
  </bookViews>
  <sheets>
    <sheet name="fina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3" i="3" l="1" a="1"/>
  <c r="C23" i="3" s="1"/>
  <c r="C21" i="3" s="1"/>
  <c r="C20" i="3" s="1"/>
  <c r="D23" i="3" a="1"/>
  <c r="D23" i="3" s="1"/>
  <c r="D21" i="3" s="1"/>
  <c r="D20" i="3" s="1"/>
  <c r="E23" i="3" a="1"/>
  <c r="E23" i="3" s="1"/>
  <c r="E21" i="3" s="1"/>
  <c r="E20" i="3" s="1"/>
  <c r="F23" i="3" a="1"/>
  <c r="F23" i="3" s="1"/>
  <c r="F21" i="3" s="1"/>
  <c r="F20" i="3" s="1"/>
  <c r="G23" i="3" a="1"/>
  <c r="G23" i="3" s="1"/>
  <c r="G21" i="3" s="1"/>
  <c r="G20" i="3" s="1"/>
  <c r="H23" i="3" a="1"/>
  <c r="H23" i="3" s="1"/>
  <c r="H21" i="3" s="1"/>
  <c r="H20" i="3" s="1"/>
  <c r="I23" i="3" a="1"/>
  <c r="I23" i="3" s="1"/>
  <c r="I21" i="3" s="1"/>
  <c r="I20" i="3" s="1"/>
  <c r="J23" i="3" a="1"/>
  <c r="J23" i="3" s="1"/>
  <c r="J21" i="3" s="1"/>
  <c r="J20" i="3" s="1"/>
  <c r="K23" i="3" a="1"/>
  <c r="K23" i="3" s="1"/>
  <c r="K21" i="3" s="1"/>
  <c r="K20" i="3" s="1"/>
  <c r="L23" i="3" a="1"/>
  <c r="L23" i="3" s="1"/>
  <c r="L21" i="3" s="1"/>
  <c r="L20" i="3" s="1"/>
  <c r="M23" i="3" a="1"/>
  <c r="M23" i="3" s="1"/>
  <c r="M21" i="3" s="1"/>
  <c r="M20" i="3" s="1"/>
  <c r="N23" i="3" a="1"/>
  <c r="N23" i="3" s="1"/>
  <c r="N21" i="3" s="1"/>
  <c r="N20" i="3" s="1"/>
  <c r="O23" i="3" a="1"/>
  <c r="O23" i="3" s="1"/>
  <c r="O21" i="3" s="1"/>
  <c r="O20" i="3" s="1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C57" i="3"/>
  <c r="D57" i="3"/>
  <c r="E57" i="3"/>
  <c r="F57" i="3"/>
  <c r="G57" i="3"/>
  <c r="H57" i="3"/>
  <c r="I57" i="3"/>
  <c r="J57" i="3"/>
  <c r="K57" i="3"/>
  <c r="L57" i="3"/>
  <c r="M57" i="3"/>
  <c r="N57" i="3"/>
  <c r="O57" i="3"/>
  <c r="C58" i="3"/>
  <c r="D58" i="3"/>
  <c r="E58" i="3"/>
  <c r="F58" i="3"/>
  <c r="G58" i="3"/>
  <c r="H58" i="3"/>
  <c r="I58" i="3"/>
  <c r="J58" i="3"/>
  <c r="K58" i="3"/>
  <c r="L58" i="3"/>
  <c r="M58" i="3"/>
  <c r="N58" i="3"/>
  <c r="O58" i="3"/>
  <c r="C59" i="3"/>
  <c r="D59" i="3"/>
  <c r="E59" i="3"/>
  <c r="F59" i="3"/>
  <c r="G59" i="3"/>
  <c r="H59" i="3"/>
  <c r="I59" i="3"/>
  <c r="J59" i="3"/>
  <c r="K59" i="3"/>
  <c r="L59" i="3"/>
  <c r="M59" i="3"/>
  <c r="N59" i="3"/>
  <c r="O59" i="3"/>
  <c r="C60" i="3"/>
  <c r="D60" i="3"/>
  <c r="E60" i="3"/>
  <c r="F60" i="3"/>
  <c r="G60" i="3"/>
  <c r="H60" i="3"/>
  <c r="I60" i="3"/>
  <c r="J60" i="3"/>
  <c r="K60" i="3"/>
  <c r="L60" i="3"/>
  <c r="M60" i="3"/>
  <c r="N60" i="3"/>
  <c r="O60" i="3"/>
  <c r="C61" i="3"/>
  <c r="D61" i="3"/>
  <c r="E61" i="3"/>
  <c r="F61" i="3"/>
  <c r="G61" i="3"/>
  <c r="H61" i="3"/>
  <c r="I61" i="3"/>
  <c r="J61" i="3"/>
  <c r="K61" i="3"/>
  <c r="L61" i="3"/>
  <c r="M61" i="3"/>
  <c r="N61" i="3"/>
  <c r="O61" i="3"/>
  <c r="C62" i="3"/>
  <c r="D62" i="3"/>
  <c r="E62" i="3"/>
  <c r="F62" i="3"/>
  <c r="G62" i="3"/>
  <c r="H62" i="3"/>
  <c r="I62" i="3"/>
  <c r="J62" i="3"/>
  <c r="K62" i="3"/>
  <c r="L62" i="3"/>
  <c r="M62" i="3"/>
  <c r="N62" i="3"/>
  <c r="O62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L18" i="3" l="1"/>
  <c r="D18" i="3"/>
  <c r="J18" i="3"/>
  <c r="I18" i="3"/>
  <c r="K18" i="3"/>
  <c r="H18" i="3"/>
  <c r="O18" i="3"/>
  <c r="G18" i="3"/>
  <c r="C18" i="3"/>
  <c r="N18" i="3"/>
  <c r="F18" i="3"/>
  <c r="M18" i="3"/>
  <c r="E18" i="3"/>
  <c r="I22" i="3" a="1"/>
  <c r="I22" i="3" s="1"/>
  <c r="I19" i="3" a="1"/>
  <c r="I19" i="3" s="1"/>
  <c r="O19" i="3" a="1"/>
  <c r="O19" i="3" s="1"/>
  <c r="O22" i="3" a="1"/>
  <c r="O22" i="3" s="1"/>
  <c r="G19" i="3" a="1"/>
  <c r="G19" i="3" s="1"/>
  <c r="G22" i="3" a="1"/>
  <c r="G22" i="3" s="1"/>
  <c r="H19" i="3" a="1"/>
  <c r="H19" i="3" s="1"/>
  <c r="H22" i="3" a="1"/>
  <c r="H22" i="3" s="1"/>
  <c r="N22" i="3" a="1"/>
  <c r="N22" i="3" s="1"/>
  <c r="N19" i="3" a="1"/>
  <c r="N19" i="3" s="1"/>
  <c r="F22" i="3" a="1"/>
  <c r="F22" i="3" s="1"/>
  <c r="F19" i="3" a="1"/>
  <c r="F19" i="3" s="1"/>
  <c r="M22" i="3" a="1"/>
  <c r="M22" i="3" s="1"/>
  <c r="M19" i="3" a="1"/>
  <c r="M19" i="3" s="1"/>
  <c r="E22" i="3" a="1"/>
  <c r="E22" i="3" s="1"/>
  <c r="E19" i="3" a="1"/>
  <c r="E19" i="3" s="1"/>
  <c r="L19" i="3" a="1"/>
  <c r="L19" i="3" s="1"/>
  <c r="L22" i="3" a="1"/>
  <c r="L22" i="3" s="1"/>
  <c r="D19" i="3" a="1"/>
  <c r="D19" i="3" s="1"/>
  <c r="D22" i="3" a="1"/>
  <c r="D22" i="3" s="1"/>
  <c r="K19" i="3" a="1"/>
  <c r="K19" i="3" s="1"/>
  <c r="K22" i="3" a="1"/>
  <c r="K22" i="3" s="1"/>
  <c r="C19" i="3" a="1"/>
  <c r="C19" i="3" s="1"/>
  <c r="C22" i="3" a="1"/>
  <c r="C22" i="3" s="1"/>
  <c r="J22" i="3" a="1"/>
  <c r="J22" i="3" s="1"/>
  <c r="J19" i="3" a="1"/>
  <c r="J19" i="3" s="1"/>
  <c r="P53" i="3" l="1"/>
  <c r="Q53" i="3"/>
  <c r="R53" i="3"/>
  <c r="S53" i="3"/>
  <c r="T53" i="3"/>
  <c r="U53" i="3"/>
  <c r="V53" i="3"/>
  <c r="W53" i="3"/>
  <c r="X53" i="3"/>
  <c r="Y53" i="3"/>
  <c r="Z53" i="3"/>
  <c r="AA53" i="3"/>
  <c r="AB53" i="3"/>
  <c r="AC53" i="3"/>
  <c r="AD53" i="3"/>
  <c r="AE53" i="3"/>
  <c r="AF53" i="3"/>
  <c r="AG53" i="3"/>
  <c r="AH53" i="3"/>
  <c r="AI53" i="3"/>
  <c r="AJ53" i="3"/>
  <c r="AK53" i="3"/>
  <c r="AL53" i="3"/>
  <c r="AM53" i="3"/>
  <c r="AN53" i="3"/>
  <c r="AO53" i="3"/>
  <c r="AP53" i="3"/>
  <c r="AQ53" i="3"/>
  <c r="AR53" i="3"/>
  <c r="AS53" i="3"/>
  <c r="AT53" i="3"/>
  <c r="AU53" i="3"/>
  <c r="AV53" i="3"/>
  <c r="AW53" i="3"/>
  <c r="AX53" i="3"/>
  <c r="AY53" i="3"/>
  <c r="P54" i="3"/>
  <c r="Q54" i="3"/>
  <c r="R54" i="3"/>
  <c r="S54" i="3"/>
  <c r="T54" i="3"/>
  <c r="U54" i="3"/>
  <c r="V54" i="3"/>
  <c r="W54" i="3"/>
  <c r="X54" i="3"/>
  <c r="Y54" i="3"/>
  <c r="Z54" i="3"/>
  <c r="AA54" i="3"/>
  <c r="AB54" i="3"/>
  <c r="AC54" i="3"/>
  <c r="AD54" i="3"/>
  <c r="AE54" i="3"/>
  <c r="AF54" i="3"/>
  <c r="AG54" i="3"/>
  <c r="AH54" i="3"/>
  <c r="AI54" i="3"/>
  <c r="AJ54" i="3"/>
  <c r="AK54" i="3"/>
  <c r="AL54" i="3"/>
  <c r="AM54" i="3"/>
  <c r="AN54" i="3"/>
  <c r="AO54" i="3"/>
  <c r="AP54" i="3"/>
  <c r="AQ54" i="3"/>
  <c r="AR54" i="3"/>
  <c r="AS54" i="3"/>
  <c r="AT54" i="3"/>
  <c r="AU54" i="3"/>
  <c r="AV54" i="3"/>
  <c r="AW54" i="3"/>
  <c r="AX54" i="3"/>
  <c r="AY54" i="3"/>
  <c r="P55" i="3"/>
  <c r="Q55" i="3"/>
  <c r="R55" i="3"/>
  <c r="S55" i="3"/>
  <c r="T55" i="3"/>
  <c r="U55" i="3"/>
  <c r="V55" i="3"/>
  <c r="W55" i="3"/>
  <c r="X55" i="3"/>
  <c r="Y55" i="3"/>
  <c r="Z55" i="3"/>
  <c r="AA55" i="3"/>
  <c r="AB55" i="3"/>
  <c r="AC55" i="3"/>
  <c r="AD55" i="3"/>
  <c r="AE55" i="3"/>
  <c r="AF55" i="3"/>
  <c r="AG55" i="3"/>
  <c r="AH55" i="3"/>
  <c r="AI55" i="3"/>
  <c r="AJ55" i="3"/>
  <c r="AK55" i="3"/>
  <c r="AL55" i="3"/>
  <c r="AM55" i="3"/>
  <c r="AN55" i="3"/>
  <c r="AO55" i="3"/>
  <c r="AP55" i="3"/>
  <c r="AQ55" i="3"/>
  <c r="AR55" i="3"/>
  <c r="AS55" i="3"/>
  <c r="AT55" i="3"/>
  <c r="AU55" i="3"/>
  <c r="AV55" i="3"/>
  <c r="AW55" i="3"/>
  <c r="AX55" i="3"/>
  <c r="AY55" i="3"/>
  <c r="P56" i="3"/>
  <c r="Q56" i="3"/>
  <c r="R56" i="3"/>
  <c r="S56" i="3"/>
  <c r="T56" i="3"/>
  <c r="U56" i="3"/>
  <c r="V56" i="3"/>
  <c r="W56" i="3"/>
  <c r="X56" i="3"/>
  <c r="Y56" i="3"/>
  <c r="Z56" i="3"/>
  <c r="AA56" i="3"/>
  <c r="AB56" i="3"/>
  <c r="AC56" i="3"/>
  <c r="AD56" i="3"/>
  <c r="AE56" i="3"/>
  <c r="AF56" i="3"/>
  <c r="AG56" i="3"/>
  <c r="AH56" i="3"/>
  <c r="AI56" i="3"/>
  <c r="AJ56" i="3"/>
  <c r="AK56" i="3"/>
  <c r="AL56" i="3"/>
  <c r="AM56" i="3"/>
  <c r="AN56" i="3"/>
  <c r="AO56" i="3"/>
  <c r="AP56" i="3"/>
  <c r="AQ56" i="3"/>
  <c r="AR56" i="3"/>
  <c r="AS56" i="3"/>
  <c r="AT56" i="3"/>
  <c r="AU56" i="3"/>
  <c r="AV56" i="3"/>
  <c r="AW56" i="3"/>
  <c r="AX56" i="3"/>
  <c r="AY56" i="3"/>
  <c r="P57" i="3"/>
  <c r="Q57" i="3"/>
  <c r="R57" i="3"/>
  <c r="S57" i="3"/>
  <c r="T57" i="3"/>
  <c r="U57" i="3"/>
  <c r="V57" i="3"/>
  <c r="W57" i="3"/>
  <c r="X57" i="3"/>
  <c r="Y57" i="3"/>
  <c r="Z57" i="3"/>
  <c r="AA57" i="3"/>
  <c r="AB57" i="3"/>
  <c r="AC57" i="3"/>
  <c r="AD57" i="3"/>
  <c r="AE57" i="3"/>
  <c r="AF57" i="3"/>
  <c r="AG57" i="3"/>
  <c r="AH57" i="3"/>
  <c r="AI57" i="3"/>
  <c r="AJ57" i="3"/>
  <c r="AK57" i="3"/>
  <c r="AL57" i="3"/>
  <c r="AM57" i="3"/>
  <c r="AN57" i="3"/>
  <c r="AO57" i="3"/>
  <c r="AP57" i="3"/>
  <c r="AQ57" i="3"/>
  <c r="AR57" i="3"/>
  <c r="AS57" i="3"/>
  <c r="AT57" i="3"/>
  <c r="AU57" i="3"/>
  <c r="AV57" i="3"/>
  <c r="AW57" i="3"/>
  <c r="AX57" i="3"/>
  <c r="AY57" i="3"/>
  <c r="P58" i="3"/>
  <c r="Q58" i="3"/>
  <c r="R58" i="3"/>
  <c r="S58" i="3"/>
  <c r="T58" i="3"/>
  <c r="U58" i="3"/>
  <c r="V58" i="3"/>
  <c r="W58" i="3"/>
  <c r="X58" i="3"/>
  <c r="Y58" i="3"/>
  <c r="Z58" i="3"/>
  <c r="AA58" i="3"/>
  <c r="AB58" i="3"/>
  <c r="AC58" i="3"/>
  <c r="AD58" i="3"/>
  <c r="AE58" i="3"/>
  <c r="AF58" i="3"/>
  <c r="AG58" i="3"/>
  <c r="AH58" i="3"/>
  <c r="AI58" i="3"/>
  <c r="AJ58" i="3"/>
  <c r="AK58" i="3"/>
  <c r="AL58" i="3"/>
  <c r="AM58" i="3"/>
  <c r="AN58" i="3"/>
  <c r="AO58" i="3"/>
  <c r="AP58" i="3"/>
  <c r="AQ58" i="3"/>
  <c r="AR58" i="3"/>
  <c r="AS58" i="3"/>
  <c r="AT58" i="3"/>
  <c r="AU58" i="3"/>
  <c r="AV58" i="3"/>
  <c r="AW58" i="3"/>
  <c r="AX58" i="3"/>
  <c r="AY58" i="3"/>
  <c r="P59" i="3"/>
  <c r="Q59" i="3"/>
  <c r="R59" i="3"/>
  <c r="S59" i="3"/>
  <c r="T59" i="3"/>
  <c r="U59" i="3"/>
  <c r="V59" i="3"/>
  <c r="W59" i="3"/>
  <c r="X59" i="3"/>
  <c r="Y59" i="3"/>
  <c r="Z59" i="3"/>
  <c r="AA59" i="3"/>
  <c r="AB59" i="3"/>
  <c r="AC59" i="3"/>
  <c r="AD59" i="3"/>
  <c r="AE59" i="3"/>
  <c r="AF59" i="3"/>
  <c r="AG59" i="3"/>
  <c r="AH59" i="3"/>
  <c r="AI59" i="3"/>
  <c r="AJ59" i="3"/>
  <c r="AK59" i="3"/>
  <c r="AL59" i="3"/>
  <c r="AM59" i="3"/>
  <c r="AN59" i="3"/>
  <c r="AO59" i="3"/>
  <c r="AP59" i="3"/>
  <c r="AQ59" i="3"/>
  <c r="AR59" i="3"/>
  <c r="AS59" i="3"/>
  <c r="AT59" i="3"/>
  <c r="AU59" i="3"/>
  <c r="AV59" i="3"/>
  <c r="AW59" i="3"/>
  <c r="AX59" i="3"/>
  <c r="AY59" i="3"/>
  <c r="P60" i="3"/>
  <c r="Q60" i="3"/>
  <c r="R60" i="3"/>
  <c r="S60" i="3"/>
  <c r="T60" i="3"/>
  <c r="U60" i="3"/>
  <c r="V60" i="3"/>
  <c r="W60" i="3"/>
  <c r="X60" i="3"/>
  <c r="Y60" i="3"/>
  <c r="Z60" i="3"/>
  <c r="AA60" i="3"/>
  <c r="AB60" i="3"/>
  <c r="AC60" i="3"/>
  <c r="AD60" i="3"/>
  <c r="AE60" i="3"/>
  <c r="AF60" i="3"/>
  <c r="AG60" i="3"/>
  <c r="AH60" i="3"/>
  <c r="AI60" i="3"/>
  <c r="AJ60" i="3"/>
  <c r="AK60" i="3"/>
  <c r="AL60" i="3"/>
  <c r="AM60" i="3"/>
  <c r="AN60" i="3"/>
  <c r="AO60" i="3"/>
  <c r="AP60" i="3"/>
  <c r="AQ60" i="3"/>
  <c r="AR60" i="3"/>
  <c r="AS60" i="3"/>
  <c r="AT60" i="3"/>
  <c r="AU60" i="3"/>
  <c r="AV60" i="3"/>
  <c r="AW60" i="3"/>
  <c r="AX60" i="3"/>
  <c r="AY60" i="3"/>
  <c r="P61" i="3"/>
  <c r="Q61" i="3"/>
  <c r="R61" i="3"/>
  <c r="S61" i="3"/>
  <c r="T61" i="3"/>
  <c r="U61" i="3"/>
  <c r="V61" i="3"/>
  <c r="W61" i="3"/>
  <c r="X61" i="3"/>
  <c r="Y61" i="3"/>
  <c r="Z61" i="3"/>
  <c r="AA61" i="3"/>
  <c r="AB61" i="3"/>
  <c r="AC61" i="3"/>
  <c r="AD61" i="3"/>
  <c r="AE61" i="3"/>
  <c r="AF61" i="3"/>
  <c r="AG61" i="3"/>
  <c r="AH61" i="3"/>
  <c r="AI61" i="3"/>
  <c r="AJ61" i="3"/>
  <c r="AK61" i="3"/>
  <c r="AL61" i="3"/>
  <c r="AM61" i="3"/>
  <c r="AN61" i="3"/>
  <c r="AO61" i="3"/>
  <c r="AP61" i="3"/>
  <c r="AQ61" i="3"/>
  <c r="AR61" i="3"/>
  <c r="AS61" i="3"/>
  <c r="AT61" i="3"/>
  <c r="AU61" i="3"/>
  <c r="AV61" i="3"/>
  <c r="AW61" i="3"/>
  <c r="AX61" i="3"/>
  <c r="AY61" i="3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P63" i="3"/>
  <c r="Q63" i="3"/>
  <c r="R63" i="3"/>
  <c r="S63" i="3"/>
  <c r="T63" i="3"/>
  <c r="U63" i="3"/>
  <c r="V63" i="3"/>
  <c r="W63" i="3"/>
  <c r="X63" i="3"/>
  <c r="Y63" i="3"/>
  <c r="Z63" i="3"/>
  <c r="AA63" i="3"/>
  <c r="AB63" i="3"/>
  <c r="AC63" i="3"/>
  <c r="AD63" i="3"/>
  <c r="AE63" i="3"/>
  <c r="AF63" i="3"/>
  <c r="AG63" i="3"/>
  <c r="AH63" i="3"/>
  <c r="AI63" i="3"/>
  <c r="AJ63" i="3"/>
  <c r="AK63" i="3"/>
  <c r="AL63" i="3"/>
  <c r="AM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AN64" i="3"/>
  <c r="AO64" i="3"/>
  <c r="AP64" i="3"/>
  <c r="AQ64" i="3"/>
  <c r="AR64" i="3"/>
  <c r="AS64" i="3"/>
  <c r="AT64" i="3"/>
  <c r="AU64" i="3"/>
  <c r="AV64" i="3"/>
  <c r="AW64" i="3"/>
  <c r="AX64" i="3"/>
  <c r="AY64" i="3"/>
  <c r="P65" i="3"/>
  <c r="Q65" i="3"/>
  <c r="R65" i="3"/>
  <c r="S65" i="3"/>
  <c r="T65" i="3"/>
  <c r="U65" i="3"/>
  <c r="V65" i="3"/>
  <c r="W65" i="3"/>
  <c r="X65" i="3"/>
  <c r="Y65" i="3"/>
  <c r="Z65" i="3"/>
  <c r="AA65" i="3"/>
  <c r="AB65" i="3"/>
  <c r="AC65" i="3"/>
  <c r="AD65" i="3"/>
  <c r="AE65" i="3"/>
  <c r="AF65" i="3"/>
  <c r="AG65" i="3"/>
  <c r="AH65" i="3"/>
  <c r="AI65" i="3"/>
  <c r="AJ65" i="3"/>
  <c r="AK65" i="3"/>
  <c r="AL65" i="3"/>
  <c r="AM65" i="3"/>
  <c r="AN65" i="3"/>
  <c r="AO65" i="3"/>
  <c r="AP65" i="3"/>
  <c r="AQ65" i="3"/>
  <c r="AR65" i="3"/>
  <c r="AS65" i="3"/>
  <c r="AT65" i="3"/>
  <c r="AU65" i="3"/>
  <c r="AV65" i="3"/>
  <c r="AW65" i="3"/>
  <c r="AX65" i="3"/>
  <c r="AY65" i="3"/>
  <c r="BC3" i="3" l="1"/>
  <c r="BC4" i="3"/>
  <c r="BC5" i="3"/>
  <c r="BC6" i="3"/>
  <c r="BC7" i="3"/>
  <c r="BC8" i="3"/>
  <c r="BC9" i="3"/>
  <c r="BC10" i="3"/>
  <c r="BC11" i="3"/>
  <c r="BC12" i="3"/>
  <c r="BC13" i="3"/>
  <c r="BC14" i="3"/>
  <c r="BC2" i="3"/>
  <c r="BB3" i="3"/>
  <c r="BB4" i="3"/>
  <c r="BB5" i="3"/>
  <c r="BB6" i="3"/>
  <c r="BB7" i="3"/>
  <c r="BB8" i="3"/>
  <c r="BB9" i="3"/>
  <c r="BB10" i="3"/>
  <c r="BB11" i="3"/>
  <c r="BB12" i="3"/>
  <c r="BB13" i="3"/>
  <c r="BB14" i="3"/>
  <c r="BB2" i="3"/>
  <c r="BA3" i="3"/>
  <c r="BA4" i="3"/>
  <c r="BA5" i="3"/>
  <c r="BA6" i="3"/>
  <c r="BA7" i="3"/>
  <c r="BA8" i="3"/>
  <c r="BA9" i="3"/>
  <c r="BA10" i="3"/>
  <c r="BA11" i="3"/>
  <c r="BA12" i="3"/>
  <c r="BA13" i="3"/>
  <c r="BA14" i="3"/>
  <c r="BA2" i="3"/>
  <c r="AB23" i="3" a="1"/>
  <c r="AB23" i="3" s="1"/>
  <c r="AB21" i="3" s="1"/>
  <c r="AB20" i="3" s="1"/>
  <c r="P23" i="3" a="1"/>
  <c r="P23" i="3" s="1"/>
  <c r="P21" i="3" s="1"/>
  <c r="P20" i="3" s="1"/>
  <c r="P22" i="3" s="1" a="1"/>
  <c r="P22" i="3" s="1"/>
  <c r="Q23" i="3" a="1"/>
  <c r="Q23" i="3" s="1"/>
  <c r="Q21" i="3" s="1"/>
  <c r="Q20" i="3" s="1"/>
  <c r="Q22" i="3" s="1" a="1"/>
  <c r="Q22" i="3" s="1"/>
  <c r="R23" i="3" a="1"/>
  <c r="R23" i="3" s="1"/>
  <c r="R21" i="3" s="1"/>
  <c r="R20" i="3" s="1"/>
  <c r="R22" i="3" s="1" a="1"/>
  <c r="R22" i="3" s="1"/>
  <c r="S23" i="3" a="1"/>
  <c r="S23" i="3" s="1"/>
  <c r="S21" i="3" s="1"/>
  <c r="S20" i="3" s="1"/>
  <c r="S22" i="3" s="1" a="1"/>
  <c r="S22" i="3" s="1"/>
  <c r="T23" i="3" a="1"/>
  <c r="T23" i="3" s="1"/>
  <c r="T21" i="3" s="1"/>
  <c r="T20" i="3" s="1"/>
  <c r="T22" i="3" s="1" a="1"/>
  <c r="T22" i="3" s="1"/>
  <c r="U23" i="3" a="1"/>
  <c r="U23" i="3" s="1"/>
  <c r="U21" i="3" s="1"/>
  <c r="U20" i="3" s="1"/>
  <c r="U22" i="3" s="1" a="1"/>
  <c r="U22" i="3" s="1"/>
  <c r="V23" i="3" a="1"/>
  <c r="V23" i="3" s="1"/>
  <c r="V21" i="3" s="1"/>
  <c r="V20" i="3" s="1"/>
  <c r="V22" i="3" s="1" a="1"/>
  <c r="V22" i="3" s="1"/>
  <c r="W23" i="3" a="1"/>
  <c r="W23" i="3" s="1"/>
  <c r="W21" i="3" s="1"/>
  <c r="W20" i="3" s="1"/>
  <c r="X23" i="3" a="1"/>
  <c r="X23" i="3" s="1"/>
  <c r="X21" i="3" s="1"/>
  <c r="X20" i="3" s="1"/>
  <c r="X22" i="3" s="1" a="1"/>
  <c r="X22" i="3" s="1"/>
  <c r="Y23" i="3" a="1"/>
  <c r="Y23" i="3" s="1"/>
  <c r="Y21" i="3" s="1"/>
  <c r="Y20" i="3" s="1"/>
  <c r="Z23" i="3" a="1"/>
  <c r="Z23" i="3" s="1"/>
  <c r="Z21" i="3" s="1"/>
  <c r="Z20" i="3" s="1"/>
  <c r="AA23" i="3" a="1"/>
  <c r="AA23" i="3" s="1"/>
  <c r="AA21" i="3" s="1"/>
  <c r="AA20" i="3" s="1"/>
  <c r="AA22" i="3" s="1" a="1"/>
  <c r="AA22" i="3" s="1"/>
  <c r="AC23" i="3" a="1"/>
  <c r="AC23" i="3" s="1"/>
  <c r="AC21" i="3" s="1"/>
  <c r="AC20" i="3" s="1"/>
  <c r="AC22" i="3" s="1" a="1"/>
  <c r="AC22" i="3" s="1"/>
  <c r="AD23" i="3" a="1"/>
  <c r="AD23" i="3" s="1"/>
  <c r="AD21" i="3" s="1"/>
  <c r="AD20" i="3" s="1"/>
  <c r="AD22" i="3" s="1" a="1"/>
  <c r="AD22" i="3" s="1"/>
  <c r="AE23" i="3" a="1"/>
  <c r="AE23" i="3" s="1"/>
  <c r="AE21" i="3" s="1"/>
  <c r="AE20" i="3" s="1"/>
  <c r="AE22" i="3" s="1" a="1"/>
  <c r="AE22" i="3" s="1"/>
  <c r="AF23" i="3" a="1"/>
  <c r="AF23" i="3" s="1"/>
  <c r="AF21" i="3" s="1"/>
  <c r="AF20" i="3" s="1"/>
  <c r="AF22" i="3" s="1" a="1"/>
  <c r="AF22" i="3" s="1"/>
  <c r="AG23" i="3" a="1"/>
  <c r="AG23" i="3" s="1"/>
  <c r="AG21" i="3" s="1"/>
  <c r="AG20" i="3" s="1"/>
  <c r="AG22" i="3" s="1" a="1"/>
  <c r="AG22" i="3" s="1"/>
  <c r="AH23" i="3" a="1"/>
  <c r="AH23" i="3" s="1"/>
  <c r="AH21" i="3" s="1"/>
  <c r="AH20" i="3" s="1"/>
  <c r="AH22" i="3" s="1" a="1"/>
  <c r="AH22" i="3" s="1"/>
  <c r="AI23" i="3" a="1"/>
  <c r="AI23" i="3" s="1"/>
  <c r="AI21" i="3" s="1"/>
  <c r="AI20" i="3" s="1"/>
  <c r="AJ23" i="3" a="1"/>
  <c r="AJ23" i="3" s="1"/>
  <c r="AJ21" i="3" s="1"/>
  <c r="AJ20" i="3" s="1"/>
  <c r="AJ22" i="3" s="1" a="1"/>
  <c r="AJ22" i="3" s="1"/>
  <c r="AK23" i="3" a="1"/>
  <c r="AK23" i="3" s="1"/>
  <c r="AK21" i="3" s="1"/>
  <c r="AK20" i="3" s="1"/>
  <c r="AK22" i="3" s="1" a="1"/>
  <c r="AK22" i="3" s="1"/>
  <c r="AL23" i="3" a="1"/>
  <c r="AL23" i="3" s="1"/>
  <c r="AL21" i="3" s="1"/>
  <c r="AL20" i="3" s="1"/>
  <c r="AL22" i="3" s="1" a="1"/>
  <c r="AL22" i="3" s="1"/>
  <c r="AM23" i="3" a="1"/>
  <c r="AM23" i="3" s="1"/>
  <c r="AM21" i="3" s="1"/>
  <c r="AM20" i="3" s="1"/>
  <c r="AM22" i="3" s="1" a="1"/>
  <c r="AM22" i="3" s="1"/>
  <c r="AN23" i="3" a="1"/>
  <c r="AN23" i="3" s="1"/>
  <c r="AN21" i="3" s="1"/>
  <c r="AN20" i="3" s="1"/>
  <c r="AN22" i="3" s="1" a="1"/>
  <c r="AN22" i="3" s="1"/>
  <c r="AO23" i="3" a="1"/>
  <c r="AO23" i="3" s="1"/>
  <c r="AO21" i="3" s="1"/>
  <c r="AO20" i="3" s="1"/>
  <c r="AO22" i="3" s="1" a="1"/>
  <c r="AO22" i="3" s="1"/>
  <c r="AP23" i="3" a="1"/>
  <c r="AP23" i="3" s="1"/>
  <c r="AP21" i="3" s="1"/>
  <c r="AP20" i="3" s="1"/>
  <c r="AP22" i="3" s="1" a="1"/>
  <c r="AP22" i="3" s="1"/>
  <c r="AQ23" i="3" a="1"/>
  <c r="AQ23" i="3" s="1"/>
  <c r="AQ21" i="3" s="1"/>
  <c r="AQ20" i="3" s="1"/>
  <c r="AQ22" i="3" s="1" a="1"/>
  <c r="AQ22" i="3" s="1"/>
  <c r="AR23" i="3" a="1"/>
  <c r="AR23" i="3" s="1"/>
  <c r="AR21" i="3" s="1"/>
  <c r="AR20" i="3" s="1"/>
  <c r="AR22" i="3" s="1" a="1"/>
  <c r="AR22" i="3" s="1"/>
  <c r="AS23" i="3" a="1"/>
  <c r="AS23" i="3" s="1"/>
  <c r="AS21" i="3" s="1"/>
  <c r="AS20" i="3" s="1"/>
  <c r="AS22" i="3" s="1" a="1"/>
  <c r="AS22" i="3" s="1"/>
  <c r="AT23" i="3" a="1"/>
  <c r="AT23" i="3" s="1"/>
  <c r="AT21" i="3" s="1"/>
  <c r="AT20" i="3" s="1"/>
  <c r="AT22" i="3" s="1" a="1"/>
  <c r="AT22" i="3" s="1"/>
  <c r="AU23" i="3" a="1"/>
  <c r="AU23" i="3" s="1"/>
  <c r="AU21" i="3" s="1"/>
  <c r="AU20" i="3" s="1"/>
  <c r="AV23" i="3" a="1"/>
  <c r="AV23" i="3" s="1"/>
  <c r="AV21" i="3" s="1"/>
  <c r="AV20" i="3" s="1"/>
  <c r="AV22" i="3" s="1" a="1"/>
  <c r="AV22" i="3" s="1"/>
  <c r="AW23" i="3" a="1"/>
  <c r="AW23" i="3" s="1"/>
  <c r="AW21" i="3" s="1"/>
  <c r="AW20" i="3" s="1"/>
  <c r="AW22" i="3" s="1" a="1"/>
  <c r="AW22" i="3" s="1"/>
  <c r="AX23" i="3" a="1"/>
  <c r="AX23" i="3" s="1"/>
  <c r="AX21" i="3" s="1"/>
  <c r="AX20" i="3" s="1"/>
  <c r="AX22" i="3" s="1" a="1"/>
  <c r="AX22" i="3" s="1"/>
  <c r="AY23" i="3" a="1"/>
  <c r="AY23" i="3" s="1"/>
  <c r="AY21" i="3" s="1"/>
  <c r="AY20" i="3" s="1"/>
  <c r="AY22" i="3" s="1" a="1"/>
  <c r="AY22" i="3" s="1"/>
  <c r="BD14" i="3" l="1"/>
  <c r="BD6" i="3"/>
  <c r="BD7" i="3"/>
  <c r="BD13" i="3"/>
  <c r="BD5" i="3"/>
  <c r="BD8" i="3"/>
  <c r="BD12" i="3"/>
  <c r="BD4" i="3"/>
  <c r="BD2" i="3"/>
  <c r="BG10" i="3" s="1"/>
  <c r="BD11" i="3"/>
  <c r="BD3" i="3"/>
  <c r="BD10" i="3"/>
  <c r="BD9" i="3"/>
  <c r="AB18" i="3"/>
  <c r="AB22" i="3" a="1"/>
  <c r="AB22" i="3" s="1"/>
  <c r="AB19" i="3" a="1"/>
  <c r="AB19" i="3" s="1"/>
  <c r="AF18" i="3"/>
  <c r="AN18" i="3"/>
  <c r="AM18" i="3"/>
  <c r="S18" i="3"/>
  <c r="T18" i="3"/>
  <c r="AE18" i="3"/>
  <c r="AK18" i="3"/>
  <c r="AC18" i="3"/>
  <c r="AL18" i="3"/>
  <c r="AJ18" i="3"/>
  <c r="AA18" i="3"/>
  <c r="U18" i="3"/>
  <c r="AD18" i="3"/>
  <c r="P18" i="3"/>
  <c r="AI18" i="3"/>
  <c r="Z18" i="3"/>
  <c r="V18" i="3"/>
  <c r="W18" i="3"/>
  <c r="X18" i="3"/>
  <c r="Q18" i="3"/>
  <c r="Y18" i="3"/>
  <c r="AP18" i="3"/>
  <c r="AH18" i="3"/>
  <c r="R18" i="3"/>
  <c r="AO18" i="3"/>
  <c r="AG18" i="3"/>
  <c r="AT19" i="3" a="1"/>
  <c r="AT19" i="3" s="1"/>
  <c r="V19" i="3" a="1"/>
  <c r="V19" i="3" s="1"/>
  <c r="AI22" i="3" a="1"/>
  <c r="AI22" i="3" s="1"/>
  <c r="AI19" i="3" a="1"/>
  <c r="AI19" i="3" s="1"/>
  <c r="Z22" i="3" a="1"/>
  <c r="Z22" i="3" s="1"/>
  <c r="Z19" i="3" a="1"/>
  <c r="Z19" i="3" s="1"/>
  <c r="Y22" i="3" a="1"/>
  <c r="Y22" i="3" s="1"/>
  <c r="Y19" i="3" a="1"/>
  <c r="Y19" i="3" s="1"/>
  <c r="W22" i="3" a="1"/>
  <c r="W22" i="3" s="1"/>
  <c r="W19" i="3" a="1"/>
  <c r="W19" i="3" s="1"/>
  <c r="AU22" i="3" a="1"/>
  <c r="AU22" i="3" s="1"/>
  <c r="AU19" i="3" a="1"/>
  <c r="AU19" i="3" s="1"/>
  <c r="AO19" i="3" a="1"/>
  <c r="AO19" i="3" s="1"/>
  <c r="AF19" i="3" a="1"/>
  <c r="AF19" i="3" s="1"/>
  <c r="AX19" i="3" a="1"/>
  <c r="AX19" i="3" s="1"/>
  <c r="AS19" i="3" a="1"/>
  <c r="AS19" i="3" s="1"/>
  <c r="AJ19" i="3" a="1"/>
  <c r="AJ19" i="3" s="1"/>
  <c r="Q19" i="3" a="1"/>
  <c r="Q19" i="3" s="1"/>
  <c r="AW19" i="3" a="1"/>
  <c r="AW19" i="3" s="1"/>
  <c r="AN19" i="3" a="1"/>
  <c r="AN19" i="3" s="1"/>
  <c r="AE19" i="3" a="1"/>
  <c r="AE19" i="3" s="1"/>
  <c r="U19" i="3" a="1"/>
  <c r="U19" i="3" s="1"/>
  <c r="P19" i="3" a="1"/>
  <c r="P19" i="3" s="1"/>
  <c r="AR19" i="3" a="1"/>
  <c r="AR19" i="3" s="1"/>
  <c r="T19" i="3" a="1"/>
  <c r="T19" i="3" s="1"/>
  <c r="AV19" i="3" a="1"/>
  <c r="AV19" i="3" s="1"/>
  <c r="AM19" i="3" a="1"/>
  <c r="AM19" i="3" s="1"/>
  <c r="AD19" i="3" a="1"/>
  <c r="AD19" i="3" s="1"/>
  <c r="X19" i="3" a="1"/>
  <c r="X19" i="3" s="1"/>
  <c r="AQ19" i="3" a="1"/>
  <c r="AQ19" i="3" s="1"/>
  <c r="AH19" i="3" a="1"/>
  <c r="AH19" i="3" s="1"/>
  <c r="AC19" i="3" a="1"/>
  <c r="AC19" i="3" s="1"/>
  <c r="S19" i="3" a="1"/>
  <c r="S19" i="3" s="1"/>
  <c r="AL19" i="3" a="1"/>
  <c r="AL19" i="3" s="1"/>
  <c r="AG19" i="3" a="1"/>
  <c r="AG19" i="3" s="1"/>
  <c r="AY19" i="3" a="1"/>
  <c r="AY19" i="3" s="1"/>
  <c r="AP19" i="3" a="1"/>
  <c r="AP19" i="3" s="1"/>
  <c r="AK19" i="3" a="1"/>
  <c r="AK19" i="3" s="1"/>
  <c r="AA19" i="3" a="1"/>
  <c r="AA19" i="3" s="1"/>
  <c r="R19" i="3" a="1"/>
  <c r="R19" i="3" s="1"/>
  <c r="AX18" i="3"/>
  <c r="AW18" i="3"/>
  <c r="AV18" i="3"/>
  <c r="AR18" i="3"/>
  <c r="AT18" i="3"/>
  <c r="AY18" i="3"/>
  <c r="AQ18" i="3"/>
  <c r="AS18" i="3"/>
  <c r="AU18" i="3"/>
  <c r="B16" i="3" l="1"/>
  <c r="BG4" i="3"/>
  <c r="BF12" i="3"/>
  <c r="BG2" i="3"/>
  <c r="BG6" i="3"/>
  <c r="BF13" i="3"/>
  <c r="BE8" i="3"/>
  <c r="BG8" i="3"/>
  <c r="BF2" i="3"/>
  <c r="BE2" i="3"/>
  <c r="BF11" i="3"/>
  <c r="BF5" i="3"/>
  <c r="BE4" i="3"/>
  <c r="BE5" i="3"/>
  <c r="BE14" i="3"/>
  <c r="BF6" i="3"/>
  <c r="BG5" i="3"/>
  <c r="BE9" i="3"/>
  <c r="BG13" i="3"/>
  <c r="BE12" i="3"/>
  <c r="BE13" i="3"/>
  <c r="BF4" i="3"/>
  <c r="BE6" i="3"/>
  <c r="BG3" i="3"/>
  <c r="BG12" i="3"/>
  <c r="BF8" i="3"/>
  <c r="BG14" i="3"/>
  <c r="BE7" i="3"/>
  <c r="BG11" i="3"/>
  <c r="BF7" i="3"/>
  <c r="BE3" i="3"/>
  <c r="BF9" i="3"/>
  <c r="BG7" i="3"/>
  <c r="BG9" i="3"/>
  <c r="BF14" i="3"/>
  <c r="BE10" i="3"/>
  <c r="BE11" i="3"/>
  <c r="BF10" i="3"/>
  <c r="BF3" i="3"/>
  <c r="AL1" i="3" l="1"/>
  <c r="AC1" i="3"/>
  <c r="AA1" i="3"/>
  <c r="AE1" i="3"/>
  <c r="AM1" i="3"/>
  <c r="AH1" i="3"/>
  <c r="Z1" i="3"/>
  <c r="AD1" i="3"/>
  <c r="AI1" i="3"/>
  <c r="AF1" i="3"/>
  <c r="AJ1" i="3"/>
  <c r="AG1" i="3"/>
  <c r="AK1" i="3"/>
  <c r="AN1" i="3"/>
  <c r="I1" i="3" l="1"/>
  <c r="J1" i="3"/>
  <c r="V1" i="3"/>
  <c r="R1" i="3"/>
  <c r="U1" i="3"/>
  <c r="Q1" i="3"/>
  <c r="T1" i="3"/>
  <c r="L1" i="3"/>
  <c r="P1" i="3"/>
  <c r="N1" i="3"/>
  <c r="S1" i="3"/>
  <c r="O1" i="3"/>
  <c r="M1" i="3"/>
  <c r="K1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<sst xmlns="http://schemas.openxmlformats.org/spreadsheetml/2006/main" count="419" uniqueCount="20">
  <si>
    <t>X</t>
  </si>
  <si>
    <t>CHAVE</t>
  </si>
  <si>
    <t>Máximo de Certos --&gt;</t>
  </si>
  <si>
    <t>Certos por aposta --&gt;</t>
  </si>
  <si>
    <t>2</t>
  </si>
  <si>
    <t>x</t>
  </si>
  <si>
    <t>1</t>
  </si>
  <si>
    <t>1 Tondela-FC Porto</t>
  </si>
  <si>
    <t>2 Santa Clara-Casa Pia AC</t>
  </si>
  <si>
    <t>3 AFS-Rio Ave</t>
  </si>
  <si>
    <t>4 FC Famalicão-Sp. Braga</t>
  </si>
  <si>
    <t>5 Estoril-Moreirense</t>
  </si>
  <si>
    <t>6 E. Amadora-Arouca</t>
  </si>
  <si>
    <t>7 FC Alverca-Nacional</t>
  </si>
  <si>
    <t>8 Académica-CD Mafra</t>
  </si>
  <si>
    <t>9 Lusitano Évora-Belenenses</t>
  </si>
  <si>
    <t>10 Varzim-Sp. Braga B</t>
  </si>
  <si>
    <t>11 Real Bétis-Barcelona</t>
  </si>
  <si>
    <t>12 Athletic Bilbau-Atl. Madrid</t>
  </si>
  <si>
    <t>13 Valência-Sevilha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</si>
</sst>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2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horizontal="center"/>
    </xf>
    <xf numFmtId="0" fontId="0" fillId="5" borderId="0" xfId="0" applyFill="1"/>
    <xf numFmtId="0" fontId="0" fillId="4" borderId="0" xfId="0" applyFill="1"/>
    <xf numFmtId="0" fontId="1" fillId="5" borderId="1" xfId="0" applyFont="1" applyFill="1" applyBorder="1" applyAlignment="1">
      <alignment horizontal="center"/>
    </xf>
    <xf numFmtId="0" fontId="3" fillId="5" borderId="1" xfId="0" applyFont="1" applyFill="1" applyBorder="1"/>
    <xf numFmtId="2" fontId="0" fillId="5" borderId="0" xfId="0" applyNumberFormat="1" applyFill="1"/>
    <xf numFmtId="2" fontId="0" fillId="2" borderId="0" xfId="0" applyNumberFormat="1" applyFill="1"/>
    <xf numFmtId="0" fontId="1" fillId="6" borderId="1" xfId="0" applyFont="1" applyFill="1" applyBorder="1" applyAlignment="1">
      <alignment horizontal="center"/>
    </xf>
    <xf numFmtId="0" fontId="3" fillId="6" borderId="1" xfId="0" applyFont="1" applyFill="1" applyBorder="1"/>
    <xf numFmtId="0" fontId="0" fillId="6" borderId="0" xfId="0" applyFill="1"/>
    <xf numFmtId="2" fontId="0" fillId="6" borderId="0" xfId="0" applyNumberFormat="1" applyFill="1"/>
    <xf numFmtId="0" fontId="1" fillId="5" borderId="2" xfId="0" applyFont="1" applyFill="1" applyBorder="1" applyAlignment="1">
      <alignment horizontal="center"/>
    </xf>
    <xf numFmtId="0" fontId="3" fillId="5" borderId="2" xfId="0" applyFon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0" fontId="1" fillId="2" borderId="2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5" borderId="0" xfId="0" applyFont="1" applyFill="1"/>
    <xf numFmtId="0" fontId="0" fillId="7" borderId="0" xfId="0" applyFill="1" applyAlignment="1">
      <alignment horizontal="center"/>
    </xf>
    <xf numFmtId="0" fontId="6" fillId="5" borderId="0" xfId="0" applyFont="1" applyFill="1" applyAlignment="1">
      <alignment horizontal="right"/>
    </xf>
    <xf numFmtId="0" fontId="6" fillId="5" borderId="0" xfId="0" applyFont="1" applyFill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/>
    <xf numFmtId="0" fontId="4" fillId="7" borderId="1" xfId="0" applyFont="1" applyFill="1" applyBorder="1" applyAlignment="1">
      <alignment horizontal="center"/>
    </xf>
    <xf numFmtId="0" fontId="1" fillId="3" borderId="0" xfId="0" applyFont="1" applyFill="1"/>
    <xf numFmtId="0" fontId="1" fillId="7" borderId="1" xfId="0" applyFont="1" applyFill="1" applyBorder="1" applyAlignment="1">
      <alignment horizontal="center"/>
    </xf>
    <xf numFmtId="0" fontId="0" fillId="5" borderId="0" xfId="0" applyFont="1" applyFill="1"/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  <dxf>
      <font>
        <color rgb="FF9C0006"/>
      </font>
      <fill>
        <patternFill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77B2-3E82-47ED-AFD1-49731AD43B8B}">
  <sheetPr codeName="Folha1"/>
  <dimension ref="A1:DG65"/>
  <sheetViews>
    <sheetView tabSelected="1" workbookViewId="0">
      <pane xSplit="1" topLeftCell="B1" activePane="topRight" state="frozen"/>
      <selection pane="topRight" activeCell="M1" sqref="M1"/>
    </sheetView>
  </sheetViews>
  <sheetFormatPr defaultRowHeight="14.4" x14ac:dyDescent="0.3"/>
  <cols>
    <col min="1" max="1" width="37" customWidth="1"/>
    <col min="2" max="2" width="10.88671875" customWidth="1"/>
    <col min="3" max="6" width="4.109375" customWidth="1"/>
    <col min="7" max="7" width="4.109375" style="4" customWidth="1"/>
    <col min="8" max="15" width="4.109375" customWidth="1"/>
    <col min="16" max="16" width="4.109375" style="4" customWidth="1"/>
    <col min="17" max="21" width="4.109375" customWidth="1"/>
    <col min="22" max="34" width="4.109375" style="4" customWidth="1"/>
    <col min="35" max="36" width="4.109375" customWidth="1"/>
    <col min="37" max="47" width="4.109375" style="4" customWidth="1"/>
    <col min="48" max="48" width="4.109375" customWidth="1"/>
    <col min="49" max="49" width="4.109375" style="4" customWidth="1"/>
    <col min="50" max="52" width="4.109375" customWidth="1"/>
    <col min="60" max="111" width="8.88671875" style="2"/>
  </cols>
  <sheetData>
    <row r="1" spans="1:111" s="2" customFormat="1" x14ac:dyDescent="0.3">
      <c r="B1" s="25" t="s">
        <v>1</v>
      </c>
      <c r="G1" s="4"/>
      <c r="I1" s="2">
        <f>COUNTIF($C$18:$AY$18,13)</f>
        <v>0</v>
      </c>
      <c r="J1" s="2">
        <f>COUNTIF($C$18:$AY$18,12)</f>
        <v>0</v>
      </c>
      <c r="K1" s="2">
        <f>COUNTIF($C$18:$AY$18,11)</f>
        <v>0</v>
      </c>
      <c r="L1" s="2">
        <f>COUNTIF($C$18:$AY$18,10)</f>
        <v>0</v>
      </c>
      <c r="M1" s="34">
        <f>COUNTIF($C$18:$AY$18,9)</f>
        <v>2</v>
      </c>
      <c r="N1" s="2">
        <f>COUNTIF($C$18:$AY$18,8)</f>
        <v>5</v>
      </c>
      <c r="O1" s="2">
        <f>COUNTIF($C$18:$AY$18,7)</f>
        <v>6</v>
      </c>
      <c r="P1" s="2">
        <f>COUNTIF($C$18:$AY$18,6)</f>
        <v>9</v>
      </c>
      <c r="Q1" s="2">
        <f>COUNTIF($C$18:$AY$18,5)</f>
        <v>4</v>
      </c>
      <c r="R1" s="2">
        <f>COUNTIF($C$18:$AY$18,4)</f>
        <v>2</v>
      </c>
      <c r="S1" s="2">
        <f>COUNTIF($C$18:$AY$18,3)</f>
        <v>2</v>
      </c>
      <c r="T1" s="2">
        <f>COUNTIF($C$18:$AY$18,2)</f>
        <v>0</v>
      </c>
      <c r="U1" s="2">
        <f>COUNTIF($C$18:$AY$18,1)</f>
        <v>0</v>
      </c>
      <c r="V1" s="2">
        <f>COUNTIF($C$18:$AY$18,0)</f>
        <v>19</v>
      </c>
      <c r="W1" s="4"/>
      <c r="Z1" s="2">
        <f>COUNTIF($C$18:$AY$18,13)</f>
        <v>0</v>
      </c>
      <c r="AA1" s="2">
        <f>COUNTIF($C$18:$AY$18,"&gt;12")</f>
        <v>0</v>
      </c>
      <c r="AC1" s="2">
        <f>COUNTIF($C$18:$AY$18,"&gt;11")</f>
        <v>0</v>
      </c>
      <c r="AD1" s="2">
        <f>COUNTIF($C$18:$AY$18,"&gt;10")</f>
        <v>0</v>
      </c>
      <c r="AE1" s="2">
        <f>COUNTIF($C$18:$AY$18,"&gt;9")</f>
        <v>0</v>
      </c>
      <c r="AF1" s="2">
        <f>COUNTIF($C$18:$AY$18,"&gt;8")</f>
        <v>2</v>
      </c>
      <c r="AG1" s="2">
        <f>COUNTIF($C$18:$AY$18,"&gt;7")</f>
        <v>7</v>
      </c>
      <c r="AH1" s="2">
        <f t="shared" ref="AH1:AN1" si="0">COUNTIF($C$18:$AY$18,"&gt;12")</f>
        <v>0</v>
      </c>
      <c r="AI1" s="2">
        <f t="shared" si="0"/>
        <v>0</v>
      </c>
      <c r="AJ1" s="2">
        <f t="shared" si="0"/>
        <v>0</v>
      </c>
      <c r="AK1" s="2">
        <f t="shared" si="0"/>
        <v>0</v>
      </c>
      <c r="AL1" s="2">
        <f t="shared" si="0"/>
        <v>0</v>
      </c>
      <c r="AM1" s="2">
        <f t="shared" si="0"/>
        <v>0</v>
      </c>
      <c r="AN1" s="2">
        <f t="shared" si="0"/>
        <v>0</v>
      </c>
      <c r="AW1" s="4"/>
    </row>
    <row r="2" spans="1:111" s="4" customFormat="1" ht="21" x14ac:dyDescent="0.4">
      <c r="A2" s="30" t="s">
        <v>7</v>
      </c>
      <c r="B2" s="28" t="s">
        <v>4</v>
      </c>
      <c r="C2" s="23" t="s">
        <v>0</v>
      </c>
      <c r="D2" s="23" t="s">
        <v>0</v>
      </c>
      <c r="E2" s="23" t="s">
        <v>0</v>
      </c>
      <c r="F2" s="23" t="s">
        <v>0</v>
      </c>
      <c r="G2" s="23" t="s">
        <v>0</v>
      </c>
      <c r="H2" s="23" t="s">
        <v>0</v>
      </c>
      <c r="I2" s="23" t="s">
        <v>4</v>
      </c>
      <c r="J2" s="23" t="s">
        <v>4</v>
      </c>
      <c r="K2" s="23" t="s">
        <v>4</v>
      </c>
      <c r="L2" s="23" t="s">
        <v>4</v>
      </c>
      <c r="M2" s="23" t="s">
        <v>4</v>
      </c>
      <c r="N2" s="23" t="s">
        <v>4</v>
      </c>
      <c r="O2" s="23" t="s">
        <v>4</v>
      </c>
      <c r="P2" s="23" t="s">
        <v>4</v>
      </c>
      <c r="Q2" s="23" t="s">
        <v>4</v>
      </c>
      <c r="R2" s="23" t="s">
        <v>4</v>
      </c>
      <c r="S2" s="23" t="s">
        <v>4</v>
      </c>
      <c r="T2" s="23" t="s">
        <v>4</v>
      </c>
      <c r="U2" s="23" t="s">
        <v>4</v>
      </c>
      <c r="V2" s="23" t="s">
        <v>4</v>
      </c>
      <c r="W2" s="23" t="s">
        <v>4</v>
      </c>
      <c r="X2" s="23" t="s">
        <v>4</v>
      </c>
      <c r="Y2" s="8" t="s">
        <v>4</v>
      </c>
      <c r="Z2" s="8" t="s">
        <v>4</v>
      </c>
      <c r="AA2" s="8" t="s">
        <v>4</v>
      </c>
      <c r="AB2" s="8" t="s">
        <v>4</v>
      </c>
      <c r="AC2" s="8" t="s">
        <v>4</v>
      </c>
      <c r="AD2" s="8" t="s">
        <v>4</v>
      </c>
      <c r="AE2" s="8" t="s">
        <v>4</v>
      </c>
      <c r="AF2" s="8" t="s">
        <v>4</v>
      </c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1"/>
      <c r="BA2" s="9">
        <f t="shared" ref="BA2:BA14" si="1">COUNTIF(C2:AY2,1)</f>
        <v>0</v>
      </c>
      <c r="BB2" s="9">
        <f t="shared" ref="BB2:BB14" si="2">COUNTIF(C2:AY2,"x")</f>
        <v>6</v>
      </c>
      <c r="BC2" s="9">
        <f t="shared" ref="BC2:BC14" si="3">COUNTIF(C2:AY2,2)</f>
        <v>24</v>
      </c>
      <c r="BD2" s="6">
        <f>BA2+BB2+BC2</f>
        <v>30</v>
      </c>
      <c r="BE2" s="10">
        <f>BA2/$BD$2*100</f>
        <v>0</v>
      </c>
      <c r="BF2" s="10">
        <f t="shared" ref="BF2:BG2" si="4">BB2/$BD$2*100</f>
        <v>20</v>
      </c>
      <c r="BG2" s="10">
        <f t="shared" si="4"/>
        <v>80</v>
      </c>
      <c r="BH2" s="11"/>
      <c r="BI2" s="11"/>
      <c r="BJ2" s="11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</row>
    <row r="3" spans="1:111" s="4" customFormat="1" ht="21" x14ac:dyDescent="0.4">
      <c r="A3" s="30" t="s">
        <v>8</v>
      </c>
      <c r="B3" s="28" t="s">
        <v>6</v>
      </c>
      <c r="C3" s="23" t="s">
        <v>4</v>
      </c>
      <c r="D3" s="23" t="s">
        <v>4</v>
      </c>
      <c r="E3" s="23" t="s">
        <v>6</v>
      </c>
      <c r="F3" s="23" t="s">
        <v>6</v>
      </c>
      <c r="G3" s="23" t="s">
        <v>6</v>
      </c>
      <c r="H3" s="23" t="s">
        <v>6</v>
      </c>
      <c r="I3" s="23" t="s">
        <v>0</v>
      </c>
      <c r="J3" s="23" t="s">
        <v>0</v>
      </c>
      <c r="K3" s="23" t="s">
        <v>0</v>
      </c>
      <c r="L3" s="23" t="s">
        <v>0</v>
      </c>
      <c r="M3" s="23" t="s">
        <v>4</v>
      </c>
      <c r="N3" s="23" t="s">
        <v>6</v>
      </c>
      <c r="O3" s="23" t="s">
        <v>6</v>
      </c>
      <c r="P3" s="23" t="s">
        <v>6</v>
      </c>
      <c r="Q3" s="23" t="s">
        <v>6</v>
      </c>
      <c r="R3" s="23" t="s">
        <v>6</v>
      </c>
      <c r="S3" s="23" t="s">
        <v>6</v>
      </c>
      <c r="T3" s="23" t="s">
        <v>6</v>
      </c>
      <c r="U3" s="23" t="s">
        <v>6</v>
      </c>
      <c r="V3" s="23" t="s">
        <v>6</v>
      </c>
      <c r="W3" s="23" t="s">
        <v>6</v>
      </c>
      <c r="X3" s="23" t="s">
        <v>6</v>
      </c>
      <c r="Y3" s="8" t="s">
        <v>6</v>
      </c>
      <c r="Z3" s="8" t="s">
        <v>6</v>
      </c>
      <c r="AA3" s="8" t="s">
        <v>6</v>
      </c>
      <c r="AB3" s="8" t="s">
        <v>6</v>
      </c>
      <c r="AC3" s="8" t="s">
        <v>6</v>
      </c>
      <c r="AD3" s="8" t="s">
        <v>6</v>
      </c>
      <c r="AE3" s="8" t="s">
        <v>6</v>
      </c>
      <c r="AF3" s="8" t="s">
        <v>6</v>
      </c>
      <c r="AG3" s="8"/>
      <c r="AH3" s="8"/>
      <c r="AI3" s="8"/>
      <c r="AJ3" s="8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22"/>
      <c r="BA3" s="17">
        <f t="shared" si="1"/>
        <v>23</v>
      </c>
      <c r="BB3" s="17">
        <f t="shared" si="2"/>
        <v>4</v>
      </c>
      <c r="BC3" s="17">
        <f t="shared" si="3"/>
        <v>3</v>
      </c>
      <c r="BD3" s="6">
        <f t="shared" ref="BD3:BD14" si="5">BA3+BB3+BC3</f>
        <v>30</v>
      </c>
      <c r="BE3" s="10">
        <f t="shared" ref="BE3:BE14" si="6">BA3/$BD$2*100</f>
        <v>76.666666666666671</v>
      </c>
      <c r="BF3" s="10">
        <f t="shared" ref="BF3:BF14" si="7">BB3/$BD$2*100</f>
        <v>13.333333333333334</v>
      </c>
      <c r="BG3" s="10">
        <f t="shared" ref="BG3:BG14" si="8">BC3/$BD$2*100</f>
        <v>10</v>
      </c>
      <c r="BH3" s="11"/>
      <c r="BI3" s="11"/>
      <c r="BJ3" s="11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</row>
    <row r="4" spans="1:111" s="4" customFormat="1" ht="21" x14ac:dyDescent="0.4">
      <c r="A4" s="30" t="s">
        <v>9</v>
      </c>
      <c r="B4" s="28" t="s">
        <v>4</v>
      </c>
      <c r="C4" s="23" t="s">
        <v>6</v>
      </c>
      <c r="D4" s="23" t="s">
        <v>6</v>
      </c>
      <c r="E4" s="23" t="s">
        <v>4</v>
      </c>
      <c r="F4" s="23" t="s">
        <v>4</v>
      </c>
      <c r="G4" s="23" t="s">
        <v>4</v>
      </c>
      <c r="H4" s="23" t="s">
        <v>4</v>
      </c>
      <c r="I4" s="23" t="s">
        <v>6</v>
      </c>
      <c r="J4" s="23" t="s">
        <v>6</v>
      </c>
      <c r="K4" s="23" t="s">
        <v>6</v>
      </c>
      <c r="L4" s="23" t="s">
        <v>6</v>
      </c>
      <c r="M4" s="23" t="s">
        <v>6</v>
      </c>
      <c r="N4" s="23" t="s">
        <v>0</v>
      </c>
      <c r="O4" s="23" t="s">
        <v>0</v>
      </c>
      <c r="P4" s="31" t="s">
        <v>0</v>
      </c>
      <c r="Q4" s="23" t="s">
        <v>0</v>
      </c>
      <c r="R4" s="23" t="s">
        <v>0</v>
      </c>
      <c r="S4" s="23" t="s">
        <v>0</v>
      </c>
      <c r="T4" s="23" t="s">
        <v>0</v>
      </c>
      <c r="U4" s="23" t="s">
        <v>0</v>
      </c>
      <c r="V4" s="23" t="s">
        <v>0</v>
      </c>
      <c r="W4" s="23" t="s">
        <v>0</v>
      </c>
      <c r="X4" s="23" t="s">
        <v>4</v>
      </c>
      <c r="Y4" s="33" t="s">
        <v>4</v>
      </c>
      <c r="Z4" s="8" t="s">
        <v>4</v>
      </c>
      <c r="AA4" s="8" t="s">
        <v>4</v>
      </c>
      <c r="AB4" s="8" t="s">
        <v>4</v>
      </c>
      <c r="AC4" s="8" t="s">
        <v>4</v>
      </c>
      <c r="AD4" s="8" t="s">
        <v>4</v>
      </c>
      <c r="AE4" s="8" t="s">
        <v>4</v>
      </c>
      <c r="AF4" s="8" t="s">
        <v>4</v>
      </c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1"/>
      <c r="BA4" s="9">
        <f t="shared" si="1"/>
        <v>7</v>
      </c>
      <c r="BB4" s="9">
        <f t="shared" si="2"/>
        <v>10</v>
      </c>
      <c r="BC4" s="9">
        <f t="shared" si="3"/>
        <v>13</v>
      </c>
      <c r="BD4" s="18">
        <f t="shared" si="5"/>
        <v>30</v>
      </c>
      <c r="BE4" s="19">
        <f t="shared" si="6"/>
        <v>23.333333333333332</v>
      </c>
      <c r="BF4" s="19">
        <f t="shared" si="7"/>
        <v>33.333333333333329</v>
      </c>
      <c r="BG4" s="19">
        <f t="shared" si="8"/>
        <v>43.333333333333336</v>
      </c>
      <c r="BH4" s="11"/>
      <c r="BI4" s="11"/>
      <c r="BJ4" s="11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</row>
    <row r="5" spans="1:111" s="14" customFormat="1" ht="21" x14ac:dyDescent="0.4">
      <c r="A5" s="32" t="s">
        <v>10</v>
      </c>
      <c r="B5" s="28" t="s">
        <v>4</v>
      </c>
      <c r="C5" s="23" t="s">
        <v>4</v>
      </c>
      <c r="D5" s="23" t="s">
        <v>4</v>
      </c>
      <c r="E5" s="23" t="s">
        <v>0</v>
      </c>
      <c r="F5" s="23" t="s">
        <v>0</v>
      </c>
      <c r="G5" s="23" t="s">
        <v>0</v>
      </c>
      <c r="H5" s="23" t="s">
        <v>0</v>
      </c>
      <c r="I5" s="23" t="s">
        <v>4</v>
      </c>
      <c r="J5" s="23" t="s">
        <v>4</v>
      </c>
      <c r="K5" s="23" t="s">
        <v>6</v>
      </c>
      <c r="L5" s="23" t="s">
        <v>6</v>
      </c>
      <c r="M5" s="23" t="s">
        <v>4</v>
      </c>
      <c r="N5" s="23" t="s">
        <v>0</v>
      </c>
      <c r="O5" s="23" t="s">
        <v>0</v>
      </c>
      <c r="P5" s="23" t="s">
        <v>4</v>
      </c>
      <c r="Q5" s="23" t="s">
        <v>4</v>
      </c>
      <c r="R5" s="23" t="s">
        <v>4</v>
      </c>
      <c r="S5" s="23" t="s">
        <v>4</v>
      </c>
      <c r="T5" s="23" t="s">
        <v>6</v>
      </c>
      <c r="U5" s="23" t="s">
        <v>6</v>
      </c>
      <c r="V5" s="23" t="s">
        <v>6</v>
      </c>
      <c r="W5" s="23" t="s">
        <v>6</v>
      </c>
      <c r="X5" s="23" t="s">
        <v>0</v>
      </c>
      <c r="Y5" s="8" t="s">
        <v>4</v>
      </c>
      <c r="Z5" s="8" t="s">
        <v>4</v>
      </c>
      <c r="AA5" s="8" t="s">
        <v>4</v>
      </c>
      <c r="AB5" s="8" t="s">
        <v>4</v>
      </c>
      <c r="AC5" s="8" t="s">
        <v>4</v>
      </c>
      <c r="AD5" s="8" t="s">
        <v>4</v>
      </c>
      <c r="AE5" s="8" t="s">
        <v>4</v>
      </c>
      <c r="AF5" s="8" t="s">
        <v>6</v>
      </c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"/>
      <c r="BA5" s="13">
        <f t="shared" si="1"/>
        <v>7</v>
      </c>
      <c r="BB5" s="13">
        <f t="shared" si="2"/>
        <v>7</v>
      </c>
      <c r="BC5" s="13">
        <f t="shared" si="3"/>
        <v>16</v>
      </c>
      <c r="BD5" s="20">
        <f t="shared" si="5"/>
        <v>30</v>
      </c>
      <c r="BE5" s="21">
        <f t="shared" si="6"/>
        <v>23.333333333333332</v>
      </c>
      <c r="BF5" s="21">
        <f t="shared" si="7"/>
        <v>23.333333333333332</v>
      </c>
      <c r="BG5" s="21">
        <f t="shared" si="8"/>
        <v>53.333333333333336</v>
      </c>
      <c r="BH5" s="15"/>
      <c r="BI5" s="15"/>
      <c r="BJ5" s="15"/>
    </row>
    <row r="6" spans="1:111" s="14" customFormat="1" ht="21" x14ac:dyDescent="0.4">
      <c r="A6" s="32" t="s">
        <v>11</v>
      </c>
      <c r="B6" s="28" t="s">
        <v>5</v>
      </c>
      <c r="C6" s="23" t="s">
        <v>6</v>
      </c>
      <c r="D6" s="23" t="s">
        <v>6</v>
      </c>
      <c r="E6" s="23" t="s">
        <v>4</v>
      </c>
      <c r="F6" s="23" t="s">
        <v>4</v>
      </c>
      <c r="G6" s="23" t="s">
        <v>6</v>
      </c>
      <c r="H6" s="23" t="s">
        <v>6</v>
      </c>
      <c r="I6" s="23" t="s">
        <v>0</v>
      </c>
      <c r="J6" s="23" t="s">
        <v>0</v>
      </c>
      <c r="K6" s="23" t="s">
        <v>0</v>
      </c>
      <c r="L6" s="23" t="s">
        <v>0</v>
      </c>
      <c r="M6" s="23" t="s">
        <v>0</v>
      </c>
      <c r="N6" s="23" t="s">
        <v>6</v>
      </c>
      <c r="O6" s="23" t="s">
        <v>6</v>
      </c>
      <c r="P6" s="31" t="s">
        <v>4</v>
      </c>
      <c r="Q6" s="23" t="s">
        <v>6</v>
      </c>
      <c r="R6" s="23" t="s">
        <v>6</v>
      </c>
      <c r="S6" s="23" t="s">
        <v>6</v>
      </c>
      <c r="T6" s="23" t="s">
        <v>4</v>
      </c>
      <c r="U6" s="23" t="s">
        <v>4</v>
      </c>
      <c r="V6" s="23" t="s">
        <v>4</v>
      </c>
      <c r="W6" s="23" t="s">
        <v>4</v>
      </c>
      <c r="X6" s="23" t="s">
        <v>6</v>
      </c>
      <c r="Y6" s="8" t="s">
        <v>4</v>
      </c>
      <c r="Z6" s="8" t="s">
        <v>6</v>
      </c>
      <c r="AA6" s="8" t="s">
        <v>6</v>
      </c>
      <c r="AB6" s="8" t="s">
        <v>6</v>
      </c>
      <c r="AC6" s="8" t="s">
        <v>6</v>
      </c>
      <c r="AD6" s="8" t="s">
        <v>6</v>
      </c>
      <c r="AE6" s="8" t="s">
        <v>6</v>
      </c>
      <c r="AF6" s="8" t="s">
        <v>4</v>
      </c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"/>
      <c r="BA6" s="13">
        <f t="shared" si="1"/>
        <v>16</v>
      </c>
      <c r="BB6" s="13">
        <f t="shared" si="2"/>
        <v>5</v>
      </c>
      <c r="BC6" s="13">
        <f t="shared" si="3"/>
        <v>9</v>
      </c>
      <c r="BD6" s="20">
        <f t="shared" si="5"/>
        <v>30</v>
      </c>
      <c r="BE6" s="21">
        <f t="shared" si="6"/>
        <v>53.333333333333336</v>
      </c>
      <c r="BF6" s="21">
        <f t="shared" si="7"/>
        <v>16.666666666666664</v>
      </c>
      <c r="BG6" s="21">
        <f t="shared" si="8"/>
        <v>30</v>
      </c>
      <c r="BH6" s="15"/>
      <c r="BI6" s="15"/>
      <c r="BJ6" s="15"/>
    </row>
    <row r="7" spans="1:111" s="14" customFormat="1" ht="21" x14ac:dyDescent="0.4">
      <c r="A7" s="32" t="s">
        <v>12</v>
      </c>
      <c r="B7" s="28" t="s">
        <v>6</v>
      </c>
      <c r="C7" s="23" t="s">
        <v>6</v>
      </c>
      <c r="D7" s="23" t="s">
        <v>6</v>
      </c>
      <c r="E7" s="23" t="s">
        <v>6</v>
      </c>
      <c r="F7" s="23" t="s">
        <v>6</v>
      </c>
      <c r="G7" s="23" t="s">
        <v>4</v>
      </c>
      <c r="H7" s="23" t="s">
        <v>4</v>
      </c>
      <c r="I7" s="23" t="s">
        <v>6</v>
      </c>
      <c r="J7" s="23" t="s">
        <v>6</v>
      </c>
      <c r="K7" s="23" t="s">
        <v>4</v>
      </c>
      <c r="L7" s="23" t="s">
        <v>4</v>
      </c>
      <c r="M7" s="23" t="s">
        <v>6</v>
      </c>
      <c r="N7" s="23" t="s">
        <v>4</v>
      </c>
      <c r="O7" s="23" t="s">
        <v>4</v>
      </c>
      <c r="P7" s="23" t="s">
        <v>6</v>
      </c>
      <c r="Q7" s="23" t="s">
        <v>0</v>
      </c>
      <c r="R7" s="23" t="s">
        <v>0</v>
      </c>
      <c r="S7" s="23" t="s">
        <v>6</v>
      </c>
      <c r="T7" s="23" t="s">
        <v>4</v>
      </c>
      <c r="U7" s="23" t="s">
        <v>6</v>
      </c>
      <c r="V7" s="23" t="s">
        <v>6</v>
      </c>
      <c r="W7" s="23" t="s">
        <v>6</v>
      </c>
      <c r="X7" s="23" t="s">
        <v>4</v>
      </c>
      <c r="Y7" s="8" t="s">
        <v>6</v>
      </c>
      <c r="Z7" s="8" t="s">
        <v>0</v>
      </c>
      <c r="AA7" s="8" t="s">
        <v>0</v>
      </c>
      <c r="AB7" s="8" t="s">
        <v>0</v>
      </c>
      <c r="AC7" s="8" t="s">
        <v>6</v>
      </c>
      <c r="AD7" s="8" t="s">
        <v>6</v>
      </c>
      <c r="AE7" s="8" t="s">
        <v>6</v>
      </c>
      <c r="AF7" s="8" t="s">
        <v>0</v>
      </c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"/>
      <c r="BA7" s="13">
        <f t="shared" si="1"/>
        <v>16</v>
      </c>
      <c r="BB7" s="13">
        <f t="shared" si="2"/>
        <v>6</v>
      </c>
      <c r="BC7" s="13">
        <f t="shared" si="3"/>
        <v>8</v>
      </c>
      <c r="BD7" s="20">
        <f t="shared" si="5"/>
        <v>30</v>
      </c>
      <c r="BE7" s="21">
        <f t="shared" si="6"/>
        <v>53.333333333333336</v>
      </c>
      <c r="BF7" s="21">
        <f t="shared" si="7"/>
        <v>20</v>
      </c>
      <c r="BG7" s="21">
        <f t="shared" si="8"/>
        <v>26.666666666666668</v>
      </c>
      <c r="BH7" s="15"/>
      <c r="BI7" s="15"/>
      <c r="BJ7" s="15"/>
    </row>
    <row r="8" spans="1:111" s="7" customFormat="1" ht="21" x14ac:dyDescent="0.4">
      <c r="A8" s="30" t="s">
        <v>13</v>
      </c>
      <c r="B8" s="28" t="s">
        <v>6</v>
      </c>
      <c r="C8" s="23" t="s">
        <v>6</v>
      </c>
      <c r="D8" s="23" t="s">
        <v>6</v>
      </c>
      <c r="E8" s="23" t="s">
        <v>0</v>
      </c>
      <c r="F8" s="23" t="s">
        <v>6</v>
      </c>
      <c r="G8" s="23" t="s">
        <v>0</v>
      </c>
      <c r="H8" s="23" t="s">
        <v>0</v>
      </c>
      <c r="I8" s="23" t="s">
        <v>4</v>
      </c>
      <c r="J8" s="23" t="s">
        <v>6</v>
      </c>
      <c r="K8" s="23" t="s">
        <v>0</v>
      </c>
      <c r="L8" s="23" t="s">
        <v>6</v>
      </c>
      <c r="M8" s="23" t="s">
        <v>6</v>
      </c>
      <c r="N8" s="23" t="s">
        <v>0</v>
      </c>
      <c r="O8" s="23" t="s">
        <v>4</v>
      </c>
      <c r="P8" s="31" t="s">
        <v>4</v>
      </c>
      <c r="Q8" s="23" t="s">
        <v>0</v>
      </c>
      <c r="R8" s="23" t="s">
        <v>6</v>
      </c>
      <c r="S8" s="23" t="s">
        <v>6</v>
      </c>
      <c r="T8" s="23" t="s">
        <v>6</v>
      </c>
      <c r="U8" s="23" t="s">
        <v>6</v>
      </c>
      <c r="V8" s="23" t="s">
        <v>6</v>
      </c>
      <c r="W8" s="23" t="s">
        <v>6</v>
      </c>
      <c r="X8" s="23" t="s">
        <v>6</v>
      </c>
      <c r="Y8" s="33" t="s">
        <v>0</v>
      </c>
      <c r="Z8" s="8" t="s">
        <v>0</v>
      </c>
      <c r="AA8" s="8" t="s">
        <v>0</v>
      </c>
      <c r="AB8" s="8" t="s">
        <v>4</v>
      </c>
      <c r="AC8" s="8" t="s">
        <v>0</v>
      </c>
      <c r="AD8" s="8" t="s">
        <v>0</v>
      </c>
      <c r="AE8" s="8" t="s">
        <v>4</v>
      </c>
      <c r="AF8" s="8" t="s">
        <v>0</v>
      </c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1"/>
      <c r="BA8" s="9">
        <f t="shared" si="1"/>
        <v>13</v>
      </c>
      <c r="BB8" s="9">
        <f t="shared" si="2"/>
        <v>12</v>
      </c>
      <c r="BC8" s="9">
        <f t="shared" si="3"/>
        <v>5</v>
      </c>
      <c r="BD8" s="18">
        <f t="shared" si="5"/>
        <v>30</v>
      </c>
      <c r="BE8" s="19">
        <f t="shared" si="6"/>
        <v>43.333333333333336</v>
      </c>
      <c r="BF8" s="19">
        <f t="shared" si="7"/>
        <v>40</v>
      </c>
      <c r="BG8" s="19">
        <f t="shared" si="8"/>
        <v>16.666666666666664</v>
      </c>
      <c r="BH8" s="11"/>
      <c r="BI8" s="11"/>
      <c r="BJ8" s="11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</row>
    <row r="9" spans="1:111" s="7" customFormat="1" ht="21" x14ac:dyDescent="0.4">
      <c r="A9" s="30" t="s">
        <v>14</v>
      </c>
      <c r="B9" s="28" t="s">
        <v>5</v>
      </c>
      <c r="C9" s="23" t="s">
        <v>0</v>
      </c>
      <c r="D9" s="23" t="s">
        <v>0</v>
      </c>
      <c r="E9" s="23" t="s">
        <v>6</v>
      </c>
      <c r="F9" s="23" t="s">
        <v>0</v>
      </c>
      <c r="G9" s="23" t="s">
        <v>6</v>
      </c>
      <c r="H9" s="23" t="s">
        <v>6</v>
      </c>
      <c r="I9" s="23" t="s">
        <v>6</v>
      </c>
      <c r="J9" s="23" t="s">
        <v>6</v>
      </c>
      <c r="K9" s="23" t="s">
        <v>6</v>
      </c>
      <c r="L9" s="23" t="s">
        <v>4</v>
      </c>
      <c r="M9" s="23" t="s">
        <v>0</v>
      </c>
      <c r="N9" s="23" t="s">
        <v>0</v>
      </c>
      <c r="O9" s="23" t="s">
        <v>6</v>
      </c>
      <c r="P9" s="23" t="s">
        <v>0</v>
      </c>
      <c r="Q9" s="23" t="s">
        <v>6</v>
      </c>
      <c r="R9" s="23" t="s">
        <v>0</v>
      </c>
      <c r="S9" s="23" t="s">
        <v>0</v>
      </c>
      <c r="T9" s="23" t="s">
        <v>0</v>
      </c>
      <c r="U9" s="23" t="s">
        <v>0</v>
      </c>
      <c r="V9" s="23" t="s">
        <v>0</v>
      </c>
      <c r="W9" s="23" t="s">
        <v>6</v>
      </c>
      <c r="X9" s="23" t="s">
        <v>4</v>
      </c>
      <c r="Y9" s="8" t="s">
        <v>0</v>
      </c>
      <c r="Z9" s="8" t="s">
        <v>6</v>
      </c>
      <c r="AA9" s="8" t="s">
        <v>6</v>
      </c>
      <c r="AB9" s="8" t="s">
        <v>6</v>
      </c>
      <c r="AC9" s="8" t="s">
        <v>0</v>
      </c>
      <c r="AD9" s="8" t="s">
        <v>0</v>
      </c>
      <c r="AE9" s="8" t="s">
        <v>0</v>
      </c>
      <c r="AF9" s="8" t="s">
        <v>6</v>
      </c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1"/>
      <c r="BA9" s="9">
        <f t="shared" si="1"/>
        <v>13</v>
      </c>
      <c r="BB9" s="9">
        <f t="shared" si="2"/>
        <v>15</v>
      </c>
      <c r="BC9" s="9">
        <f t="shared" si="3"/>
        <v>2</v>
      </c>
      <c r="BD9" s="18">
        <f t="shared" si="5"/>
        <v>30</v>
      </c>
      <c r="BE9" s="19">
        <f t="shared" si="6"/>
        <v>43.333333333333336</v>
      </c>
      <c r="BF9" s="19">
        <f t="shared" si="7"/>
        <v>50</v>
      </c>
      <c r="BG9" s="19">
        <f t="shared" si="8"/>
        <v>6.666666666666667</v>
      </c>
      <c r="BH9" s="11"/>
      <c r="BI9" s="11"/>
      <c r="BJ9" s="11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</row>
    <row r="10" spans="1:111" s="7" customFormat="1" ht="21" x14ac:dyDescent="0.4">
      <c r="A10" s="30" t="s">
        <v>15</v>
      </c>
      <c r="B10" s="28" t="s">
        <v>4</v>
      </c>
      <c r="C10" s="23" t="s">
        <v>0</v>
      </c>
      <c r="D10" s="23" t="s">
        <v>4</v>
      </c>
      <c r="E10" s="23" t="s">
        <v>6</v>
      </c>
      <c r="F10" s="23" t="s">
        <v>6</v>
      </c>
      <c r="G10" s="23" t="s">
        <v>4</v>
      </c>
      <c r="H10" s="23" t="s">
        <v>6</v>
      </c>
      <c r="I10" s="23" t="s">
        <v>0</v>
      </c>
      <c r="J10" s="23" t="s">
        <v>0</v>
      </c>
      <c r="K10" s="23" t="s">
        <v>6</v>
      </c>
      <c r="L10" s="23" t="s">
        <v>0</v>
      </c>
      <c r="M10" s="23" t="s">
        <v>6</v>
      </c>
      <c r="N10" s="23" t="s">
        <v>6</v>
      </c>
      <c r="O10" s="23" t="s">
        <v>0</v>
      </c>
      <c r="P10" s="31" t="s">
        <v>6</v>
      </c>
      <c r="Q10" s="23" t="s">
        <v>4</v>
      </c>
      <c r="R10" s="23" t="s">
        <v>0</v>
      </c>
      <c r="S10" s="23" t="s">
        <v>6</v>
      </c>
      <c r="T10" s="23" t="s">
        <v>6</v>
      </c>
      <c r="U10" s="23" t="s">
        <v>4</v>
      </c>
      <c r="V10" s="23" t="s">
        <v>6</v>
      </c>
      <c r="W10" s="23" t="s">
        <v>0</v>
      </c>
      <c r="X10" s="23" t="s">
        <v>0</v>
      </c>
      <c r="Y10" s="33" t="s">
        <v>6</v>
      </c>
      <c r="Z10" s="8" t="s">
        <v>6</v>
      </c>
      <c r="AA10" s="8" t="s">
        <v>6</v>
      </c>
      <c r="AB10" s="8" t="s">
        <v>0</v>
      </c>
      <c r="AC10" s="8" t="s">
        <v>6</v>
      </c>
      <c r="AD10" s="8" t="s">
        <v>6</v>
      </c>
      <c r="AE10" s="8" t="s">
        <v>6</v>
      </c>
      <c r="AF10" s="8" t="s">
        <v>0</v>
      </c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1"/>
      <c r="BA10" s="9">
        <f t="shared" si="1"/>
        <v>16</v>
      </c>
      <c r="BB10" s="9">
        <f t="shared" si="2"/>
        <v>10</v>
      </c>
      <c r="BC10" s="9">
        <f t="shared" si="3"/>
        <v>4</v>
      </c>
      <c r="BD10" s="18">
        <f t="shared" si="5"/>
        <v>30</v>
      </c>
      <c r="BE10" s="19">
        <f t="shared" si="6"/>
        <v>53.333333333333336</v>
      </c>
      <c r="BF10" s="19">
        <f t="shared" si="7"/>
        <v>33.333333333333329</v>
      </c>
      <c r="BG10" s="19">
        <f t="shared" si="8"/>
        <v>13.333333333333334</v>
      </c>
      <c r="BH10" s="11"/>
      <c r="BI10" s="11"/>
      <c r="BJ10" s="11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</row>
    <row r="11" spans="1:111" s="14" customFormat="1" ht="21" x14ac:dyDescent="0.4">
      <c r="A11" s="32" t="s">
        <v>16</v>
      </c>
      <c r="B11" s="28" t="s">
        <v>6</v>
      </c>
      <c r="C11" s="23" t="s">
        <v>6</v>
      </c>
      <c r="D11" s="23" t="s">
        <v>6</v>
      </c>
      <c r="E11" s="23" t="s">
        <v>0</v>
      </c>
      <c r="F11" s="23" t="s">
        <v>6</v>
      </c>
      <c r="G11" s="23" t="s">
        <v>0</v>
      </c>
      <c r="H11" s="23" t="s">
        <v>0</v>
      </c>
      <c r="I11" s="23" t="s">
        <v>6</v>
      </c>
      <c r="J11" s="23" t="s">
        <v>6</v>
      </c>
      <c r="K11" s="23" t="s">
        <v>4</v>
      </c>
      <c r="L11" s="23" t="s">
        <v>6</v>
      </c>
      <c r="M11" s="23" t="s">
        <v>6</v>
      </c>
      <c r="N11" s="23" t="s">
        <v>6</v>
      </c>
      <c r="O11" s="23" t="s">
        <v>6</v>
      </c>
      <c r="P11" s="23" t="s">
        <v>6</v>
      </c>
      <c r="Q11" s="23" t="s">
        <v>4</v>
      </c>
      <c r="R11" s="23" t="s">
        <v>0</v>
      </c>
      <c r="S11" s="23" t="s">
        <v>0</v>
      </c>
      <c r="T11" s="23" t="s">
        <v>6</v>
      </c>
      <c r="U11" s="23" t="s">
        <v>6</v>
      </c>
      <c r="V11" s="23" t="s">
        <v>6</v>
      </c>
      <c r="W11" s="23" t="s">
        <v>0</v>
      </c>
      <c r="X11" s="23" t="s">
        <v>6</v>
      </c>
      <c r="Y11" s="33" t="s">
        <v>0</v>
      </c>
      <c r="Z11" s="8" t="s">
        <v>6</v>
      </c>
      <c r="AA11" s="8" t="s">
        <v>6</v>
      </c>
      <c r="AB11" s="8" t="s">
        <v>4</v>
      </c>
      <c r="AC11" s="8" t="s">
        <v>6</v>
      </c>
      <c r="AD11" s="8" t="s">
        <v>6</v>
      </c>
      <c r="AE11" s="8" t="s">
        <v>0</v>
      </c>
      <c r="AF11" s="8" t="s">
        <v>6</v>
      </c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"/>
      <c r="BA11" s="13">
        <f t="shared" si="1"/>
        <v>19</v>
      </c>
      <c r="BB11" s="13">
        <f t="shared" si="2"/>
        <v>8</v>
      </c>
      <c r="BC11" s="13">
        <f t="shared" si="3"/>
        <v>3</v>
      </c>
      <c r="BD11" s="20">
        <f t="shared" si="5"/>
        <v>30</v>
      </c>
      <c r="BE11" s="21">
        <f t="shared" si="6"/>
        <v>63.333333333333329</v>
      </c>
      <c r="BF11" s="21">
        <f t="shared" si="7"/>
        <v>26.666666666666668</v>
      </c>
      <c r="BG11" s="21">
        <f t="shared" si="8"/>
        <v>10</v>
      </c>
      <c r="BH11" s="15"/>
      <c r="BI11" s="15"/>
      <c r="BJ11" s="15"/>
    </row>
    <row r="12" spans="1:111" s="14" customFormat="1" ht="21" x14ac:dyDescent="0.4">
      <c r="A12" s="32" t="s">
        <v>17</v>
      </c>
      <c r="B12" s="28" t="s">
        <v>4</v>
      </c>
      <c r="C12" s="23" t="s">
        <v>4</v>
      </c>
      <c r="D12" s="23" t="s">
        <v>6</v>
      </c>
      <c r="E12" s="23" t="s">
        <v>4</v>
      </c>
      <c r="F12" s="23" t="s">
        <v>0</v>
      </c>
      <c r="G12" s="23" t="s">
        <v>4</v>
      </c>
      <c r="H12" s="23" t="s">
        <v>4</v>
      </c>
      <c r="I12" s="23" t="s">
        <v>4</v>
      </c>
      <c r="J12" s="23" t="s">
        <v>4</v>
      </c>
      <c r="K12" s="23" t="s">
        <v>6</v>
      </c>
      <c r="L12" s="23" t="s">
        <v>4</v>
      </c>
      <c r="M12" s="23" t="s">
        <v>4</v>
      </c>
      <c r="N12" s="23" t="s">
        <v>4</v>
      </c>
      <c r="O12" s="23" t="s">
        <v>4</v>
      </c>
      <c r="P12" s="23" t="s">
        <v>4</v>
      </c>
      <c r="Q12" s="23" t="s">
        <v>4</v>
      </c>
      <c r="R12" s="23" t="s">
        <v>4</v>
      </c>
      <c r="S12" s="23" t="s">
        <v>4</v>
      </c>
      <c r="T12" s="23" t="s">
        <v>4</v>
      </c>
      <c r="U12" s="23" t="s">
        <v>0</v>
      </c>
      <c r="V12" s="23" t="s">
        <v>6</v>
      </c>
      <c r="W12" s="23" t="s">
        <v>4</v>
      </c>
      <c r="X12" s="23" t="s">
        <v>4</v>
      </c>
      <c r="Y12" s="8" t="s">
        <v>4</v>
      </c>
      <c r="Z12" s="8" t="s">
        <v>4</v>
      </c>
      <c r="AA12" s="8" t="s">
        <v>4</v>
      </c>
      <c r="AB12" s="8" t="s">
        <v>6</v>
      </c>
      <c r="AC12" s="8" t="s">
        <v>4</v>
      </c>
      <c r="AD12" s="8" t="s">
        <v>4</v>
      </c>
      <c r="AE12" s="8" t="s">
        <v>6</v>
      </c>
      <c r="AF12" s="8" t="s">
        <v>4</v>
      </c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"/>
      <c r="BA12" s="13">
        <f t="shared" si="1"/>
        <v>5</v>
      </c>
      <c r="BB12" s="13">
        <f t="shared" si="2"/>
        <v>2</v>
      </c>
      <c r="BC12" s="13">
        <f t="shared" si="3"/>
        <v>23</v>
      </c>
      <c r="BD12" s="20">
        <f t="shared" si="5"/>
        <v>30</v>
      </c>
      <c r="BE12" s="21">
        <f t="shared" si="6"/>
        <v>16.666666666666664</v>
      </c>
      <c r="BF12" s="21">
        <f t="shared" si="7"/>
        <v>6.666666666666667</v>
      </c>
      <c r="BG12" s="21">
        <f t="shared" si="8"/>
        <v>76.666666666666671</v>
      </c>
      <c r="BH12" s="15"/>
      <c r="BI12" s="15"/>
      <c r="BJ12" s="15"/>
    </row>
    <row r="13" spans="1:111" s="14" customFormat="1" ht="21" x14ac:dyDescent="0.4">
      <c r="A13" s="32" t="s">
        <v>18</v>
      </c>
      <c r="B13" s="28" t="s">
        <v>6</v>
      </c>
      <c r="C13" s="23" t="s">
        <v>0</v>
      </c>
      <c r="D13" s="23" t="s">
        <v>4</v>
      </c>
      <c r="E13" s="23" t="s">
        <v>4</v>
      </c>
      <c r="F13" s="23" t="s">
        <v>4</v>
      </c>
      <c r="G13" s="23" t="s">
        <v>6</v>
      </c>
      <c r="H13" s="23" t="s">
        <v>0</v>
      </c>
      <c r="I13" s="23" t="s">
        <v>4</v>
      </c>
      <c r="J13" s="23" t="s">
        <v>6</v>
      </c>
      <c r="K13" s="23" t="s">
        <v>6</v>
      </c>
      <c r="L13" s="23" t="s">
        <v>6</v>
      </c>
      <c r="M13" s="23" t="s">
        <v>4</v>
      </c>
      <c r="N13" s="23" t="s">
        <v>4</v>
      </c>
      <c r="O13" s="23" t="s">
        <v>6</v>
      </c>
      <c r="P13" s="23" t="s">
        <v>6</v>
      </c>
      <c r="Q13" s="23" t="s">
        <v>0</v>
      </c>
      <c r="R13" s="23" t="s">
        <v>6</v>
      </c>
      <c r="S13" s="23" t="s">
        <v>0</v>
      </c>
      <c r="T13" s="23" t="s">
        <v>4</v>
      </c>
      <c r="U13" s="23" t="s">
        <v>4</v>
      </c>
      <c r="V13" s="23" t="s">
        <v>4</v>
      </c>
      <c r="W13" s="23" t="s">
        <v>0</v>
      </c>
      <c r="X13" s="23" t="s">
        <v>6</v>
      </c>
      <c r="Y13" s="8" t="s">
        <v>6</v>
      </c>
      <c r="Z13" s="8" t="s">
        <v>6</v>
      </c>
      <c r="AA13" s="8" t="s">
        <v>6</v>
      </c>
      <c r="AB13" s="8" t="s">
        <v>0</v>
      </c>
      <c r="AC13" s="8" t="s">
        <v>0</v>
      </c>
      <c r="AD13" s="8" t="s">
        <v>0</v>
      </c>
      <c r="AE13" s="8" t="s">
        <v>4</v>
      </c>
      <c r="AF13" s="8" t="s">
        <v>4</v>
      </c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"/>
      <c r="BA13" s="13">
        <f t="shared" si="1"/>
        <v>11</v>
      </c>
      <c r="BB13" s="13">
        <f t="shared" si="2"/>
        <v>8</v>
      </c>
      <c r="BC13" s="13">
        <f t="shared" si="3"/>
        <v>11</v>
      </c>
      <c r="BD13" s="20">
        <f t="shared" si="5"/>
        <v>30</v>
      </c>
      <c r="BE13" s="21">
        <f t="shared" si="6"/>
        <v>36.666666666666664</v>
      </c>
      <c r="BF13" s="21">
        <f t="shared" si="7"/>
        <v>26.666666666666668</v>
      </c>
      <c r="BG13" s="21">
        <f t="shared" si="8"/>
        <v>36.666666666666664</v>
      </c>
      <c r="BH13" s="15"/>
      <c r="BI13" s="15"/>
      <c r="BJ13" s="15"/>
    </row>
    <row r="14" spans="1:111" s="14" customFormat="1" ht="21" x14ac:dyDescent="0.4">
      <c r="A14" s="32" t="s">
        <v>19</v>
      </c>
      <c r="B14" s="28" t="s">
        <v>5</v>
      </c>
      <c r="C14" s="23" t="s">
        <v>4</v>
      </c>
      <c r="D14" s="23" t="s">
        <v>4</v>
      </c>
      <c r="E14" s="23" t="s">
        <v>6</v>
      </c>
      <c r="F14" s="23" t="s">
        <v>6</v>
      </c>
      <c r="G14" s="23" t="s">
        <v>6</v>
      </c>
      <c r="H14" s="23" t="s">
        <v>4</v>
      </c>
      <c r="I14" s="23" t="s">
        <v>6</v>
      </c>
      <c r="J14" s="23" t="s">
        <v>4</v>
      </c>
      <c r="K14" s="23" t="s">
        <v>4</v>
      </c>
      <c r="L14" s="23" t="s">
        <v>0</v>
      </c>
      <c r="M14" s="23" t="s">
        <v>6</v>
      </c>
      <c r="N14" s="23" t="s">
        <v>4</v>
      </c>
      <c r="O14" s="23" t="s">
        <v>6</v>
      </c>
      <c r="P14" s="23" t="s">
        <v>0</v>
      </c>
      <c r="Q14" s="23" t="s">
        <v>6</v>
      </c>
      <c r="R14" s="23" t="s">
        <v>6</v>
      </c>
      <c r="S14" s="23" t="s">
        <v>0</v>
      </c>
      <c r="T14" s="23" t="s">
        <v>6</v>
      </c>
      <c r="U14" s="23" t="s">
        <v>6</v>
      </c>
      <c r="V14" s="23" t="s">
        <v>6</v>
      </c>
      <c r="W14" s="23" t="s">
        <v>0</v>
      </c>
      <c r="X14" s="23" t="s">
        <v>6</v>
      </c>
      <c r="Y14" s="8" t="s">
        <v>0</v>
      </c>
      <c r="Z14" s="8" t="s">
        <v>4</v>
      </c>
      <c r="AA14" s="8" t="s">
        <v>6</v>
      </c>
      <c r="AB14" s="8" t="s">
        <v>6</v>
      </c>
      <c r="AC14" s="8" t="s">
        <v>4</v>
      </c>
      <c r="AD14" s="8" t="s">
        <v>6</v>
      </c>
      <c r="AE14" s="8" t="s">
        <v>6</v>
      </c>
      <c r="AF14" s="8" t="s">
        <v>0</v>
      </c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"/>
      <c r="BA14" s="13">
        <f t="shared" si="1"/>
        <v>16</v>
      </c>
      <c r="BB14" s="13">
        <f t="shared" si="2"/>
        <v>6</v>
      </c>
      <c r="BC14" s="13">
        <f t="shared" si="3"/>
        <v>8</v>
      </c>
      <c r="BD14" s="20">
        <f t="shared" si="5"/>
        <v>30</v>
      </c>
      <c r="BE14" s="21">
        <f t="shared" si="6"/>
        <v>53.333333333333336</v>
      </c>
      <c r="BF14" s="21">
        <f t="shared" si="7"/>
        <v>20</v>
      </c>
      <c r="BG14" s="21">
        <f t="shared" si="8"/>
        <v>26.666666666666668</v>
      </c>
      <c r="BH14" s="15"/>
      <c r="BI14" s="15"/>
      <c r="BJ14" s="15"/>
    </row>
    <row r="15" spans="1:111" s="2" customFormat="1" x14ac:dyDescent="0.3"/>
    <row r="16" spans="1:111" s="2" customFormat="1" ht="31.2" x14ac:dyDescent="0.6">
      <c r="A16" s="26" t="s">
        <v>2</v>
      </c>
      <c r="B16" s="27">
        <f>MAX($C$18:$AY$18)</f>
        <v>9</v>
      </c>
      <c r="C16" s="24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s="2" customFormat="1" x14ac:dyDescent="0.3"/>
    <row r="18" spans="1:51" s="2" customFormat="1" ht="23.4" x14ac:dyDescent="0.45">
      <c r="A18" s="26" t="s">
        <v>3</v>
      </c>
      <c r="C18" s="29">
        <f>COUNTIF(C53:C65,"=1")</f>
        <v>6</v>
      </c>
      <c r="D18" s="29">
        <f t="shared" ref="D18:Y18" si="9">COUNTIF(D53:D65,"=1")</f>
        <v>6</v>
      </c>
      <c r="E18" s="29">
        <f t="shared" si="9"/>
        <v>4</v>
      </c>
      <c r="F18" s="29">
        <f t="shared" si="9"/>
        <v>6</v>
      </c>
      <c r="G18" s="29">
        <f t="shared" si="9"/>
        <v>5</v>
      </c>
      <c r="H18" s="29">
        <f t="shared" si="9"/>
        <v>3</v>
      </c>
      <c r="I18" s="29">
        <f t="shared" si="9"/>
        <v>6</v>
      </c>
      <c r="J18" s="29">
        <f t="shared" si="9"/>
        <v>8</v>
      </c>
      <c r="K18" s="29">
        <f t="shared" si="9"/>
        <v>3</v>
      </c>
      <c r="L18" s="29">
        <f t="shared" si="9"/>
        <v>7</v>
      </c>
      <c r="M18" s="29">
        <f t="shared" si="9"/>
        <v>8</v>
      </c>
      <c r="N18" s="29">
        <f t="shared" si="9"/>
        <v>5</v>
      </c>
      <c r="O18" s="29">
        <f t="shared" ref="O18" si="10">COUNTIF(O53:O65,"=1")</f>
        <v>5</v>
      </c>
      <c r="P18" s="29">
        <f t="shared" si="9"/>
        <v>9</v>
      </c>
      <c r="Q18" s="29">
        <f t="shared" si="9"/>
        <v>5</v>
      </c>
      <c r="R18" s="29">
        <f t="shared" si="9"/>
        <v>7</v>
      </c>
      <c r="S18" s="29">
        <f t="shared" si="9"/>
        <v>8</v>
      </c>
      <c r="T18" s="29">
        <f t="shared" si="9"/>
        <v>6</v>
      </c>
      <c r="U18" s="29">
        <f t="shared" si="9"/>
        <v>7</v>
      </c>
      <c r="V18" s="29">
        <f t="shared" si="9"/>
        <v>6</v>
      </c>
      <c r="W18" s="29">
        <f t="shared" si="9"/>
        <v>6</v>
      </c>
      <c r="X18" s="29">
        <f t="shared" si="9"/>
        <v>7</v>
      </c>
      <c r="Y18" s="29">
        <f t="shared" si="9"/>
        <v>9</v>
      </c>
      <c r="Z18" s="29">
        <f t="shared" ref="Z18:AY18" si="11">COUNTIF(Z53:Z65,"=1")</f>
        <v>7</v>
      </c>
      <c r="AA18" s="29">
        <f t="shared" si="11"/>
        <v>7</v>
      </c>
      <c r="AB18" s="29">
        <f t="shared" ref="AB18" si="12">COUNTIF(AB53:AB65,"=1")</f>
        <v>4</v>
      </c>
      <c r="AC18" s="29">
        <f t="shared" si="11"/>
        <v>8</v>
      </c>
      <c r="AD18" s="29">
        <f t="shared" si="11"/>
        <v>8</v>
      </c>
      <c r="AE18" s="29">
        <f t="shared" si="11"/>
        <v>6</v>
      </c>
      <c r="AF18" s="29">
        <f t="shared" si="11"/>
        <v>6</v>
      </c>
      <c r="AG18" s="6">
        <f t="shared" si="11"/>
        <v>0</v>
      </c>
      <c r="AH18" s="6">
        <f t="shared" si="11"/>
        <v>0</v>
      </c>
      <c r="AI18" s="6">
        <f t="shared" si="11"/>
        <v>0</v>
      </c>
      <c r="AJ18" s="6">
        <f t="shared" si="11"/>
        <v>0</v>
      </c>
      <c r="AK18" s="6">
        <f t="shared" si="11"/>
        <v>0</v>
      </c>
      <c r="AL18" s="6">
        <f t="shared" si="11"/>
        <v>0</v>
      </c>
      <c r="AM18" s="6">
        <f t="shared" si="11"/>
        <v>0</v>
      </c>
      <c r="AN18" s="6">
        <f t="shared" si="11"/>
        <v>0</v>
      </c>
      <c r="AO18" s="6">
        <f t="shared" si="11"/>
        <v>0</v>
      </c>
      <c r="AP18" s="6">
        <f t="shared" si="11"/>
        <v>0</v>
      </c>
      <c r="AQ18" s="6">
        <f t="shared" si="11"/>
        <v>0</v>
      </c>
      <c r="AR18" s="6">
        <f t="shared" si="11"/>
        <v>0</v>
      </c>
      <c r="AS18" s="6">
        <f t="shared" si="11"/>
        <v>0</v>
      </c>
      <c r="AT18" s="6">
        <f t="shared" si="11"/>
        <v>0</v>
      </c>
      <c r="AU18" s="6">
        <f t="shared" si="11"/>
        <v>0</v>
      </c>
      <c r="AV18" s="6">
        <f t="shared" si="11"/>
        <v>0</v>
      </c>
      <c r="AW18" s="6">
        <f t="shared" si="11"/>
        <v>0</v>
      </c>
      <c r="AX18" s="6">
        <f t="shared" si="11"/>
        <v>0</v>
      </c>
      <c r="AY18" s="6">
        <f t="shared" si="11"/>
        <v>0</v>
      </c>
    </row>
    <row r="19" spans="1:51" s="2" customFormat="1" x14ac:dyDescent="0.3">
      <c r="C19" s="2" cm="1">
        <f t="array" ref="C19">_xlfn.IFS(C20=2,4,C20=1,2,C20=0,1,+C20=-13,0)</f>
        <v>1</v>
      </c>
      <c r="D19" s="2" cm="1">
        <f t="array" ref="D19">_xlfn.IFS(D20=2,4,D20=1,2,D20=0,1,+D20=-13,0)</f>
        <v>1</v>
      </c>
      <c r="E19" s="2" cm="1">
        <f t="array" ref="E19">_xlfn.IFS(E20=2,4,E20=1,2,E20=0,1,+E20=-13,0)</f>
        <v>1</v>
      </c>
      <c r="F19" s="2" cm="1">
        <f t="array" ref="F19">_xlfn.IFS(F20=2,4,F20=1,2,F20=0,1,+F20=-13,0)</f>
        <v>1</v>
      </c>
      <c r="G19" s="2" cm="1">
        <f t="array" ref="G19">_xlfn.IFS(G20=2,4,G20=1,2,G20=0,1,+G20=-13,0)</f>
        <v>1</v>
      </c>
      <c r="H19" s="2" cm="1">
        <f t="array" ref="H19">_xlfn.IFS(H20=2,4,H20=1,2,H20=0,1,+H20=-13,0)</f>
        <v>1</v>
      </c>
      <c r="I19" s="2" cm="1">
        <f t="array" ref="I19">_xlfn.IFS(I20=2,4,I20=1,2,I20=0,1,+I20=-13,0)</f>
        <v>1</v>
      </c>
      <c r="J19" s="2" cm="1">
        <f t="array" ref="J19">_xlfn.IFS(J20=2,4,J20=1,2,J20=0,1,+J20=-13,0)</f>
        <v>1</v>
      </c>
      <c r="K19" s="2" cm="1">
        <f t="array" ref="K19">_xlfn.IFS(K20=2,4,K20=1,2,K20=0,1,+K20=-13,0)</f>
        <v>1</v>
      </c>
      <c r="L19" s="2" cm="1">
        <f t="array" ref="L19">_xlfn.IFS(L20=2,4,L20=1,2,L20=0,1,+L20=-13,0)</f>
        <v>1</v>
      </c>
      <c r="M19" s="2" cm="1">
        <f t="array" ref="M19">_xlfn.IFS(M20=2,4,M20=1,2,M20=0,1,+M20=-13,0)</f>
        <v>1</v>
      </c>
      <c r="N19" s="2" cm="1">
        <f t="array" ref="N19">_xlfn.IFS(N20=2,4,N20=1,2,N20=0,1,+N20=-13,0)</f>
        <v>1</v>
      </c>
      <c r="O19" s="2" cm="1">
        <f t="array" ref="O19">_xlfn.IFS(O20=2,4,O20=1,2,O20=0,1,+O20=-13,0)</f>
        <v>1</v>
      </c>
      <c r="P19" s="2" cm="1">
        <f t="array" ref="P19">_xlfn.IFS(P20=2,4,P20=1,2,P20=0,1,+P20=-13,0)</f>
        <v>1</v>
      </c>
      <c r="Q19" s="2" cm="1">
        <f t="array" ref="Q19">_xlfn.IFS(Q20=2,4,Q20=1,2,Q20=0,1,+Q20=-13,0)</f>
        <v>1</v>
      </c>
      <c r="R19" s="2" cm="1">
        <f t="array" ref="R19">_xlfn.IFS(R20=2,4,R20=1,2,R20=0,1,+R20=-13,0)</f>
        <v>1</v>
      </c>
      <c r="S19" s="2" cm="1">
        <f t="array" ref="S19">_xlfn.IFS(S20=2,4,S20=1,2,S20=0,1,+S20=-13,0)</f>
        <v>1</v>
      </c>
      <c r="T19" s="2" cm="1">
        <f t="array" ref="T19">_xlfn.IFS(T20=2,4,T20=1,2,T20=0,1,+T20=-13,0)</f>
        <v>1</v>
      </c>
      <c r="U19" s="2" cm="1">
        <f t="array" ref="U19">_xlfn.IFS(U20=2,4,U20=1,2,U20=0,1,+U20=-13,0)</f>
        <v>1</v>
      </c>
      <c r="V19" s="2" cm="1">
        <f t="array" ref="V19">_xlfn.IFS(V20=2,4,V20=1,2,V20=0,1,+V20=-13,0)</f>
        <v>1</v>
      </c>
      <c r="W19" s="2" cm="1">
        <f t="array" ref="W19">_xlfn.IFS(W20=2,4,W20=1,2,W20=0,1,+W20=-13,0)</f>
        <v>1</v>
      </c>
      <c r="X19" s="2" cm="1">
        <f t="array" ref="X19">_xlfn.IFS(X20=2,4,X20=1,2,X20=0,1,+X20=-13,0)</f>
        <v>1</v>
      </c>
      <c r="Y19" s="2" cm="1">
        <f t="array" ref="Y19">_xlfn.IFS(Y20=2,4,Y20=1,2,Y20=0,1,+Y20=-13,0)</f>
        <v>1</v>
      </c>
      <c r="Z19" s="2" cm="1">
        <f t="array" ref="Z19">_xlfn.IFS(Z20=2,4,Z20=1,2,Z20=0,1,+Z20=-13,0)</f>
        <v>1</v>
      </c>
      <c r="AA19" s="2" cm="1">
        <f t="array" ref="AA19">_xlfn.IFS(AA20=2,4,AA20=1,2,AA20=0,1,+AA20=-13,0)</f>
        <v>1</v>
      </c>
      <c r="AB19" s="2" cm="1">
        <f t="array" ref="AB19">_xlfn.IFS(AB20=2,4,AB20=1,2,AB20=0,1,+AB20=-13,0)</f>
        <v>1</v>
      </c>
      <c r="AC19" s="2" cm="1">
        <f t="array" ref="AC19">_xlfn.IFS(AC20=2,4,AC20=1,2,AC20=0,1,+AC20=-13,0)</f>
        <v>1</v>
      </c>
      <c r="AD19" s="2" cm="1">
        <f t="array" ref="AD19">_xlfn.IFS(AD20=2,4,AD20=1,2,AD20=0,1,+AD20=-13,0)</f>
        <v>1</v>
      </c>
      <c r="AE19" s="2" cm="1">
        <f t="array" ref="AE19">_xlfn.IFS(AE20=2,4,AE20=1,2,AE20=0,1,+AE20=-13,0)</f>
        <v>1</v>
      </c>
      <c r="AF19" s="2" cm="1">
        <f t="array" ref="AF19">_xlfn.IFS(AF20=2,4,AF20=1,2,AF20=0,1,+AF20=-13,0)</f>
        <v>1</v>
      </c>
      <c r="AG19" s="2" cm="1">
        <f t="array" ref="AG19">_xlfn.IFS(AG20=2,4,AG20=1,2,AG20=0,1,+AG20=-13,0)</f>
        <v>0</v>
      </c>
      <c r="AH19" s="2" cm="1">
        <f t="array" ref="AH19">_xlfn.IFS(AH20=2,4,AH20=1,2,AH20=0,1,+AH20=-13,0)</f>
        <v>0</v>
      </c>
      <c r="AI19" s="2" cm="1">
        <f t="array" ref="AI19">_xlfn.IFS(AI20=2,4,AI20=1,2,AI20=0,1,+AI20=-13,0)</f>
        <v>0</v>
      </c>
      <c r="AJ19" s="2" cm="1">
        <f t="array" ref="AJ19">_xlfn.IFS(AJ20=2,4,AJ20=1,2,AJ20=0,1,+AJ20=-13,0)</f>
        <v>0</v>
      </c>
      <c r="AK19" s="2" cm="1">
        <f t="array" ref="AK19">_xlfn.IFS(AK20=2,4,AK20=1,2,AK20=0,1,+AK20=-13,0)</f>
        <v>0</v>
      </c>
      <c r="AL19" s="2" cm="1">
        <f t="array" ref="AL19">_xlfn.IFS(AL20=2,4,AL20=1,2,AL20=0,1,+AL20=-13,0)</f>
        <v>0</v>
      </c>
      <c r="AM19" s="2" cm="1">
        <f t="array" ref="AM19">_xlfn.IFS(AM20=2,4,AM20=1,2,AM20=0,1,+AM20=-13,0)</f>
        <v>0</v>
      </c>
      <c r="AN19" s="2" cm="1">
        <f t="array" ref="AN19">_xlfn.IFS(AN20=2,4,AN20=1,2,AN20=0,1,+AN20=-13,0)</f>
        <v>0</v>
      </c>
      <c r="AO19" s="2" cm="1">
        <f t="array" ref="AO19">_xlfn.IFS(AO20=2,4,AO20=1,2,AO20=0,1,+AO20=-13,0)</f>
        <v>0</v>
      </c>
      <c r="AP19" s="2" cm="1">
        <f t="array" ref="AP19">_xlfn.IFS(AP20=2,4,AP20=1,2,AP20=0,1,+AP20=-13,0)</f>
        <v>0</v>
      </c>
      <c r="AQ19" s="2" cm="1">
        <f t="array" ref="AQ19">_xlfn.IFS(AQ20=2,4,AQ20=1,2,AQ20=0,1,+AQ20=-13,0)</f>
        <v>0</v>
      </c>
      <c r="AR19" s="2" cm="1">
        <f t="array" ref="AR19">_xlfn.IFS(AR20=2,4,AR20=1,2,AR20=0,1,+AR20=-13,0)</f>
        <v>0</v>
      </c>
      <c r="AS19" s="2" cm="1">
        <f t="array" ref="AS19">_xlfn.IFS(AS20=2,4,AS20=1,2,AS20=0,1,+AS20=-13,0)</f>
        <v>0</v>
      </c>
      <c r="AT19" s="2" cm="1">
        <f t="array" ref="AT19">_xlfn.IFS(AT20=2,4,AT20=1,2,AT20=0,1,+AT20=-13,0)</f>
        <v>0</v>
      </c>
      <c r="AU19" s="2" cm="1">
        <f t="array" ref="AU19">_xlfn.IFS(AU20=2,4,AU20=1,2,AU20=0,1,+AU20=-13,0)</f>
        <v>0</v>
      </c>
      <c r="AV19" s="2" cm="1">
        <f t="array" ref="AV19">_xlfn.IFS(AV20=2,4,AV20=1,2,AV20=0,1,+AV20=-13,0)</f>
        <v>0</v>
      </c>
      <c r="AW19" s="2" cm="1">
        <f t="array" ref="AW19">_xlfn.IFS(AW20=2,4,AW20=1,2,AW20=0,1,+AW20=-13,0)</f>
        <v>0</v>
      </c>
      <c r="AX19" s="2" cm="1">
        <f t="array" ref="AX19">_xlfn.IFS(AX20=2,4,AX20=1,2,AX20=0,1,+AX20=-13,0)</f>
        <v>0</v>
      </c>
      <c r="AY19" s="2" cm="1">
        <f t="array" ref="AY19">_xlfn.IFS(AY20=2,4,AY20=1,2,AY20=0,1,+AY20=-13,0)</f>
        <v>0</v>
      </c>
    </row>
    <row r="20" spans="1:51" s="2" customFormat="1" x14ac:dyDescent="0.3">
      <c r="C20" s="2">
        <f>C21-13</f>
        <v>0</v>
      </c>
      <c r="D20" s="2">
        <f t="shared" ref="D20:Q20" si="13">D21-13</f>
        <v>0</v>
      </c>
      <c r="E20" s="2">
        <f t="shared" si="13"/>
        <v>0</v>
      </c>
      <c r="F20" s="2">
        <f t="shared" si="13"/>
        <v>0</v>
      </c>
      <c r="G20" s="4">
        <f t="shared" si="13"/>
        <v>0</v>
      </c>
      <c r="H20" s="2">
        <f t="shared" si="13"/>
        <v>0</v>
      </c>
      <c r="I20" s="2">
        <f t="shared" si="13"/>
        <v>0</v>
      </c>
      <c r="J20" s="2">
        <f t="shared" si="13"/>
        <v>0</v>
      </c>
      <c r="K20" s="2">
        <f t="shared" si="13"/>
        <v>0</v>
      </c>
      <c r="L20" s="2">
        <f t="shared" si="13"/>
        <v>0</v>
      </c>
      <c r="M20" s="2">
        <f t="shared" si="13"/>
        <v>0</v>
      </c>
      <c r="N20" s="2">
        <f t="shared" si="13"/>
        <v>0</v>
      </c>
      <c r="O20" s="2">
        <f t="shared" si="13"/>
        <v>0</v>
      </c>
      <c r="P20" s="2">
        <f t="shared" si="13"/>
        <v>0</v>
      </c>
      <c r="Q20" s="2">
        <f t="shared" si="13"/>
        <v>0</v>
      </c>
      <c r="R20" s="2">
        <f t="shared" ref="R20" si="14">R21-13</f>
        <v>0</v>
      </c>
      <c r="S20" s="2">
        <f t="shared" ref="S20" si="15">S21-13</f>
        <v>0</v>
      </c>
      <c r="T20" s="2">
        <f t="shared" ref="T20" si="16">T21-13</f>
        <v>0</v>
      </c>
      <c r="U20" s="2">
        <f t="shared" ref="U20" si="17">U21-13</f>
        <v>0</v>
      </c>
      <c r="V20" s="2">
        <f t="shared" ref="V20" si="18">V21-13</f>
        <v>0</v>
      </c>
      <c r="W20" s="4">
        <f t="shared" ref="W20" si="19">W21-13</f>
        <v>0</v>
      </c>
      <c r="X20" s="2">
        <f t="shared" ref="X20" si="20">X21-13</f>
        <v>0</v>
      </c>
      <c r="Y20" s="2">
        <f t="shared" ref="Y20" si="21">Y21-13</f>
        <v>0</v>
      </c>
      <c r="Z20" s="2">
        <f t="shared" ref="Z20" si="22">Z21-13</f>
        <v>0</v>
      </c>
      <c r="AA20" s="2">
        <f t="shared" ref="AA20:AB20" si="23">AA21-13</f>
        <v>0</v>
      </c>
      <c r="AB20" s="2">
        <f t="shared" si="23"/>
        <v>0</v>
      </c>
      <c r="AC20" s="4">
        <f t="shared" ref="AC20" si="24">AC21-13</f>
        <v>0</v>
      </c>
      <c r="AD20" s="2">
        <f t="shared" ref="AD20" si="25">AD21-13</f>
        <v>0</v>
      </c>
      <c r="AE20" s="2">
        <f t="shared" ref="AE20" si="26">AE21-13</f>
        <v>0</v>
      </c>
      <c r="AF20" s="2">
        <f t="shared" ref="AF20" si="27">AF21-13</f>
        <v>0</v>
      </c>
      <c r="AG20" s="2">
        <f t="shared" ref="AG20" si="28">AG21-13</f>
        <v>-13</v>
      </c>
      <c r="AH20" s="2">
        <f t="shared" ref="AH20" si="29">AH21-13</f>
        <v>-13</v>
      </c>
      <c r="AI20" s="2">
        <f t="shared" ref="AI20" si="30">AI21-13</f>
        <v>-13</v>
      </c>
      <c r="AJ20" s="2">
        <f t="shared" ref="AJ20" si="31">AJ21-13</f>
        <v>-13</v>
      </c>
      <c r="AK20" s="2">
        <f t="shared" ref="AK20" si="32">AK21-13</f>
        <v>-13</v>
      </c>
      <c r="AL20" s="2">
        <f t="shared" ref="AL20" si="33">AL21-13</f>
        <v>-13</v>
      </c>
      <c r="AM20" s="2">
        <f t="shared" ref="AM20" si="34">AM21-13</f>
        <v>-13</v>
      </c>
      <c r="AN20" s="2">
        <f t="shared" ref="AN20" si="35">AN21-13</f>
        <v>-13</v>
      </c>
      <c r="AO20" s="2">
        <f t="shared" ref="AO20" si="36">AO21-13</f>
        <v>-13</v>
      </c>
      <c r="AP20" s="2">
        <f t="shared" ref="AP20" si="37">AP21-13</f>
        <v>-13</v>
      </c>
      <c r="AQ20" s="2">
        <f t="shared" ref="AQ20" si="38">AQ21-13</f>
        <v>-13</v>
      </c>
      <c r="AR20" s="2">
        <f t="shared" ref="AR20" si="39">AR21-13</f>
        <v>-13</v>
      </c>
      <c r="AS20" s="2">
        <f t="shared" ref="AS20" si="40">AS21-13</f>
        <v>-13</v>
      </c>
      <c r="AT20" s="2">
        <f t="shared" ref="AT20" si="41">AT21-13</f>
        <v>-13</v>
      </c>
      <c r="AU20" s="2">
        <f t="shared" ref="AU20" si="42">AU21-13</f>
        <v>-13</v>
      </c>
      <c r="AV20" s="2">
        <f t="shared" ref="AV20" si="43">AV21-13</f>
        <v>-13</v>
      </c>
      <c r="AW20" s="4">
        <f t="shared" ref="AW20" si="44">AW21-13</f>
        <v>-13</v>
      </c>
      <c r="AX20" s="2">
        <f t="shared" ref="AX20" si="45">AX21-13</f>
        <v>-13</v>
      </c>
      <c r="AY20" s="2">
        <f t="shared" ref="AY20" si="46">AY21-13</f>
        <v>-13</v>
      </c>
    </row>
    <row r="21" spans="1:51" s="2" customFormat="1" x14ac:dyDescent="0.3">
      <c r="C21" s="2">
        <f>SUM(C23:C35)</f>
        <v>13</v>
      </c>
      <c r="D21" s="2">
        <f t="shared" ref="D21:Q21" si="47">SUM(D23:D35)</f>
        <v>13</v>
      </c>
      <c r="E21" s="2">
        <f t="shared" si="47"/>
        <v>13</v>
      </c>
      <c r="F21" s="2">
        <f t="shared" si="47"/>
        <v>13</v>
      </c>
      <c r="G21" s="4">
        <f t="shared" si="47"/>
        <v>13</v>
      </c>
      <c r="H21" s="2">
        <f t="shared" si="47"/>
        <v>13</v>
      </c>
      <c r="I21" s="2">
        <f t="shared" si="47"/>
        <v>13</v>
      </c>
      <c r="J21" s="2">
        <f t="shared" si="47"/>
        <v>13</v>
      </c>
      <c r="K21" s="2">
        <f t="shared" si="47"/>
        <v>13</v>
      </c>
      <c r="L21" s="2">
        <f t="shared" si="47"/>
        <v>13</v>
      </c>
      <c r="M21" s="2">
        <f t="shared" si="47"/>
        <v>13</v>
      </c>
      <c r="N21" s="2">
        <f t="shared" si="47"/>
        <v>13</v>
      </c>
      <c r="O21" s="2">
        <f t="shared" ref="O21" si="48">SUM(O23:O35)</f>
        <v>13</v>
      </c>
      <c r="P21" s="2">
        <f t="shared" si="47"/>
        <v>13</v>
      </c>
      <c r="Q21" s="2">
        <f t="shared" si="47"/>
        <v>13</v>
      </c>
      <c r="R21" s="2">
        <f t="shared" ref="R21:AY21" si="49">SUM(R23:R35)</f>
        <v>13</v>
      </c>
      <c r="S21" s="2">
        <f t="shared" si="49"/>
        <v>13</v>
      </c>
      <c r="T21" s="2">
        <f t="shared" si="49"/>
        <v>13</v>
      </c>
      <c r="U21" s="2">
        <f t="shared" si="49"/>
        <v>13</v>
      </c>
      <c r="V21" s="2">
        <f t="shared" si="49"/>
        <v>13</v>
      </c>
      <c r="W21" s="4">
        <f t="shared" si="49"/>
        <v>13</v>
      </c>
      <c r="X21" s="2">
        <f t="shared" si="49"/>
        <v>13</v>
      </c>
      <c r="Y21" s="2">
        <f t="shared" si="49"/>
        <v>13</v>
      </c>
      <c r="Z21" s="2">
        <f t="shared" si="49"/>
        <v>13</v>
      </c>
      <c r="AA21" s="2">
        <f t="shared" si="49"/>
        <v>13</v>
      </c>
      <c r="AB21" s="2">
        <f t="shared" ref="AB21" si="50">SUM(AB23:AB35)</f>
        <v>13</v>
      </c>
      <c r="AC21" s="4">
        <f t="shared" si="49"/>
        <v>13</v>
      </c>
      <c r="AD21" s="2">
        <f t="shared" si="49"/>
        <v>13</v>
      </c>
      <c r="AE21" s="2">
        <f t="shared" si="49"/>
        <v>13</v>
      </c>
      <c r="AF21" s="2">
        <f t="shared" si="49"/>
        <v>13</v>
      </c>
      <c r="AG21" s="2">
        <f t="shared" si="49"/>
        <v>0</v>
      </c>
      <c r="AH21" s="2">
        <f t="shared" si="49"/>
        <v>0</v>
      </c>
      <c r="AI21" s="2">
        <f t="shared" si="49"/>
        <v>0</v>
      </c>
      <c r="AJ21" s="2">
        <f t="shared" si="49"/>
        <v>0</v>
      </c>
      <c r="AK21" s="2">
        <f t="shared" si="49"/>
        <v>0</v>
      </c>
      <c r="AL21" s="2">
        <f t="shared" si="49"/>
        <v>0</v>
      </c>
      <c r="AM21" s="2">
        <f t="shared" si="49"/>
        <v>0</v>
      </c>
      <c r="AN21" s="2">
        <f t="shared" si="49"/>
        <v>0</v>
      </c>
      <c r="AO21" s="2">
        <f t="shared" si="49"/>
        <v>0</v>
      </c>
      <c r="AP21" s="2">
        <f t="shared" si="49"/>
        <v>0</v>
      </c>
      <c r="AQ21" s="2">
        <f t="shared" si="49"/>
        <v>0</v>
      </c>
      <c r="AR21" s="2">
        <f t="shared" si="49"/>
        <v>0</v>
      </c>
      <c r="AS21" s="2">
        <f t="shared" si="49"/>
        <v>0</v>
      </c>
      <c r="AT21" s="2">
        <f t="shared" si="49"/>
        <v>0</v>
      </c>
      <c r="AU21" s="2">
        <f t="shared" si="49"/>
        <v>0</v>
      </c>
      <c r="AV21" s="2">
        <f t="shared" si="49"/>
        <v>0</v>
      </c>
      <c r="AW21" s="4">
        <f t="shared" si="49"/>
        <v>0</v>
      </c>
      <c r="AX21" s="2">
        <f t="shared" si="49"/>
        <v>0</v>
      </c>
      <c r="AY21" s="2">
        <f t="shared" si="49"/>
        <v>0</v>
      </c>
    </row>
    <row r="22" spans="1:51" s="2" customFormat="1" x14ac:dyDescent="0.3">
      <c r="C22" s="2" cm="1">
        <f t="array" ref="C22">_xlfn.IFS(C20=2,4,C20=1,2,C20=0,1,C20&lt;0,0)</f>
        <v>1</v>
      </c>
      <c r="D22" s="2" cm="1">
        <f t="array" ref="D22">_xlfn.IFS(D20=2,4,D20=1,2,D20=0,1,D20&lt;0,0)</f>
        <v>1</v>
      </c>
      <c r="E22" s="2" cm="1">
        <f t="array" ref="E22">_xlfn.IFS(E20=2,4,E20=1,2,E20=0,1,E20&lt;0,0)</f>
        <v>1</v>
      </c>
      <c r="F22" s="2" cm="1">
        <f t="array" ref="F22">_xlfn.IFS(F20=2,4,F20=1,2,F20=0,1,F20&lt;0,0)</f>
        <v>1</v>
      </c>
      <c r="G22" s="4" cm="1">
        <f t="array" ref="G22">_xlfn.IFS(G20=2,4,G20=1,2,G20=0,1,G20&lt;0,0)</f>
        <v>1</v>
      </c>
      <c r="H22" s="2" cm="1">
        <f t="array" ref="H22">_xlfn.IFS(H20=2,4,H20=1,2,H20=0,1,H20&lt;0,0)</f>
        <v>1</v>
      </c>
      <c r="I22" s="2" cm="1">
        <f t="array" ref="I22">_xlfn.IFS(I20=2,4,I20=1,2,I20=0,1,I20&lt;0,0)</f>
        <v>1</v>
      </c>
      <c r="J22" s="2" cm="1">
        <f t="array" ref="J22">_xlfn.IFS(J20=2,4,J20=1,2,J20=0,1,J20&lt;0,0)</f>
        <v>1</v>
      </c>
      <c r="K22" s="2" cm="1">
        <f t="array" ref="K22">_xlfn.IFS(K20=2,4,K20=1,2,K20=0,1,K20&lt;0,0)</f>
        <v>1</v>
      </c>
      <c r="L22" s="2" cm="1">
        <f t="array" ref="L22">_xlfn.IFS(L20=2,4,L20=1,2,L20=0,1,L20&lt;0,0)</f>
        <v>1</v>
      </c>
      <c r="M22" s="2" cm="1">
        <f t="array" ref="M22">_xlfn.IFS(M20=2,4,M20=1,2,M20=0,1,M20&lt;0,0)</f>
        <v>1</v>
      </c>
      <c r="N22" s="2" cm="1">
        <f t="array" ref="N22">_xlfn.IFS(N20=2,4,N20=1,2,N20=0,1,N20&lt;0,0)</f>
        <v>1</v>
      </c>
      <c r="O22" s="2" cm="1">
        <f t="array" ref="O22">_xlfn.IFS(O20=2,4,O20=1,2,O20=0,1,O20&lt;0,0)</f>
        <v>1</v>
      </c>
      <c r="P22" s="2" cm="1">
        <f t="array" ref="P22">_xlfn.IFS(P20=2,4,P20=1,2,P20=0,1,P20&lt;0,0)</f>
        <v>1</v>
      </c>
      <c r="Q22" s="2" cm="1">
        <f t="array" ref="Q22">_xlfn.IFS(Q20=2,4,Q20=1,2,Q20=0,1,Q20&lt;0,0)</f>
        <v>1</v>
      </c>
      <c r="R22" s="2" cm="1">
        <f t="array" ref="R22">_xlfn.IFS(R20=2,4,R20=1,2,R20=0,1,R20&lt;0,0)</f>
        <v>1</v>
      </c>
      <c r="S22" s="2" cm="1">
        <f t="array" ref="S22">_xlfn.IFS(S20=2,4,S20=1,2,S20=0,1,S20&lt;0,0)</f>
        <v>1</v>
      </c>
      <c r="T22" s="2" cm="1">
        <f t="array" ref="T22">_xlfn.IFS(T20=2,4,T20=1,2,T20=0,1,T20&lt;0,0)</f>
        <v>1</v>
      </c>
      <c r="U22" s="2" cm="1">
        <f t="array" ref="U22">_xlfn.IFS(U20=2,4,U20=1,2,U20=0,1,U20&lt;0,0)</f>
        <v>1</v>
      </c>
      <c r="V22" s="2" cm="1">
        <f t="array" ref="V22">_xlfn.IFS(V20=2,4,V20=1,2,V20=0,1,V20&lt;0,0)</f>
        <v>1</v>
      </c>
      <c r="W22" s="4" cm="1">
        <f t="array" ref="W22">_xlfn.IFS(W20=2,4,W20=1,2,W20=0,1,W20&lt;0,0)</f>
        <v>1</v>
      </c>
      <c r="X22" s="2" cm="1">
        <f t="array" ref="X22">_xlfn.IFS(X20=2,4,X20=1,2,X20=0,1,X20&lt;0,0)</f>
        <v>1</v>
      </c>
      <c r="Y22" s="2" cm="1">
        <f t="array" ref="Y22">_xlfn.IFS(Y20=2,4,Y20=1,2,Y20=0,1,Y20&lt;0,0)</f>
        <v>1</v>
      </c>
      <c r="Z22" s="2" cm="1">
        <f t="array" ref="Z22">_xlfn.IFS(Z20=2,4,Z20=1,2,Z20=0,1,Z20&lt;0,0)</f>
        <v>1</v>
      </c>
      <c r="AA22" s="2" cm="1">
        <f t="array" ref="AA22">_xlfn.IFS(AA20=2,4,AA20=1,2,AA20=0,1,AA20&lt;0,0)</f>
        <v>1</v>
      </c>
      <c r="AB22" s="2" cm="1">
        <f t="array" ref="AB22">_xlfn.IFS(AB20=2,4,AB20=1,2,AB20=0,1,AB20&lt;0,0)</f>
        <v>1</v>
      </c>
      <c r="AC22" s="4" cm="1">
        <f t="array" ref="AC22">_xlfn.IFS(AC20=2,4,AC20=1,2,AC20=0,1,AC20&lt;0,0)</f>
        <v>1</v>
      </c>
      <c r="AD22" s="2" cm="1">
        <f t="array" ref="AD22">_xlfn.IFS(AD20=2,4,AD20=1,2,AD20=0,1,AD20&lt;0,0)</f>
        <v>1</v>
      </c>
      <c r="AE22" s="2" cm="1">
        <f t="array" ref="AE22">_xlfn.IFS(AE20=2,4,AE20=1,2,AE20=0,1,AE20&lt;0,0)</f>
        <v>1</v>
      </c>
      <c r="AF22" s="2" cm="1">
        <f t="array" ref="AF22">_xlfn.IFS(AF20=2,4,AF20=1,2,AF20=0,1,AF20&lt;0,0)</f>
        <v>1</v>
      </c>
      <c r="AG22" s="2" cm="1">
        <f t="array" ref="AG22">_xlfn.IFS(AG20=2,4,AG20=1,2,AG20=0,1,AG20&lt;0,0)</f>
        <v>0</v>
      </c>
      <c r="AH22" s="2" cm="1">
        <f t="array" ref="AH22">_xlfn.IFS(AH20=2,4,AH20=1,2,AH20=0,1,AH20&lt;0,0)</f>
        <v>0</v>
      </c>
      <c r="AI22" s="2" cm="1">
        <f t="array" ref="AI22">_xlfn.IFS(AI20=2,4,AI20=1,2,AI20=0,1,AI20&lt;0,0)</f>
        <v>0</v>
      </c>
      <c r="AJ22" s="2" cm="1">
        <f t="array" ref="AJ22">_xlfn.IFS(AJ20=2,4,AJ20=1,2,AJ20=0,1,AJ20&lt;0,0)</f>
        <v>0</v>
      </c>
      <c r="AK22" s="2" cm="1">
        <f t="array" ref="AK22">_xlfn.IFS(AK20=2,4,AK20=1,2,AK20=0,1,AK20&lt;0,0)</f>
        <v>0</v>
      </c>
      <c r="AL22" s="2" cm="1">
        <f t="array" ref="AL22">_xlfn.IFS(AL20=2,4,AL20=1,2,AL20=0,1,AL20&lt;0,0)</f>
        <v>0</v>
      </c>
      <c r="AM22" s="2" cm="1">
        <f t="array" ref="AM22">_xlfn.IFS(AM20=2,4,AM20=1,2,AM20=0,1,AM20&lt;0,0)</f>
        <v>0</v>
      </c>
      <c r="AN22" s="2" cm="1">
        <f t="array" ref="AN22">_xlfn.IFS(AN20=2,4,AN20=1,2,AN20=0,1,AN20&lt;0,0)</f>
        <v>0</v>
      </c>
      <c r="AO22" s="2" cm="1">
        <f t="array" ref="AO22">_xlfn.IFS(AO20=2,4,AO20=1,2,AO20=0,1,AO20&lt;0,0)</f>
        <v>0</v>
      </c>
      <c r="AP22" s="2" cm="1">
        <f t="array" ref="AP22">_xlfn.IFS(AP20=2,4,AP20=1,2,AP20=0,1,AP20&lt;0,0)</f>
        <v>0</v>
      </c>
      <c r="AQ22" s="2" cm="1">
        <f t="array" ref="AQ22">_xlfn.IFS(AQ20=2,4,AQ20=1,2,AQ20=0,1,AQ20&lt;0,0)</f>
        <v>0</v>
      </c>
      <c r="AR22" s="2" cm="1">
        <f t="array" ref="AR22">_xlfn.IFS(AR20=2,4,AR20=1,2,AR20=0,1,AR20&lt;0,0)</f>
        <v>0</v>
      </c>
      <c r="AS22" s="2" cm="1">
        <f t="array" ref="AS22">_xlfn.IFS(AS20=2,4,AS20=1,2,AS20=0,1,AS20&lt;0,0)</f>
        <v>0</v>
      </c>
      <c r="AT22" s="2" cm="1">
        <f t="array" ref="AT22">_xlfn.IFS(AT20=2,4,AT20=1,2,AT20=0,1,AT20&lt;0,0)</f>
        <v>0</v>
      </c>
      <c r="AU22" s="2" cm="1">
        <f t="array" ref="AU22">_xlfn.IFS(AU20=2,4,AU20=1,2,AU20=0,1,AU20&lt;0,0)</f>
        <v>0</v>
      </c>
      <c r="AV22" s="2" cm="1">
        <f t="array" ref="AV22">_xlfn.IFS(AV20=2,4,AV20=1,2,AV20=0,1,AV20&lt;0,0)</f>
        <v>0</v>
      </c>
      <c r="AW22" s="4" cm="1">
        <f t="array" ref="AW22">_xlfn.IFS(AW20=2,4,AW20=1,2,AW20=0,1,AW20&lt;0,0)</f>
        <v>0</v>
      </c>
      <c r="AX22" s="2" cm="1">
        <f t="array" ref="AX22">_xlfn.IFS(AX20=2,4,AX20=1,2,AX20=0,1,AX20&lt;0,0)</f>
        <v>0</v>
      </c>
      <c r="AY22" s="2" cm="1">
        <f t="array" ref="AY22">_xlfn.IFS(AY20=2,4,AY20=1,2,AY20=0,1,AY20&lt;0,0)</f>
        <v>0</v>
      </c>
    </row>
    <row r="23" spans="1:51" s="2" customFormat="1" x14ac:dyDescent="0.3">
      <c r="C23" s="2" cm="1">
        <f t="array" ref="C23:C35">LEN(C2:C14)</f>
        <v>1</v>
      </c>
      <c r="D23" s="2" cm="1">
        <f t="array" ref="D23:D35">LEN(D2:D14)</f>
        <v>1</v>
      </c>
      <c r="E23" s="2" cm="1">
        <f t="array" ref="E23:E35">LEN(E2:E14)</f>
        <v>1</v>
      </c>
      <c r="F23" s="2" cm="1">
        <f t="array" ref="F23:F35">LEN(F2:F14)</f>
        <v>1</v>
      </c>
      <c r="G23" s="4" cm="1">
        <f t="array" ref="G23:G35">LEN(G2:G14)</f>
        <v>1</v>
      </c>
      <c r="H23" s="2" cm="1">
        <f t="array" ref="H23:H35">LEN(H2:H14)</f>
        <v>1</v>
      </c>
      <c r="I23" s="2" cm="1">
        <f t="array" ref="I23:I35">LEN(I2:I14)</f>
        <v>1</v>
      </c>
      <c r="J23" s="2" cm="1">
        <f t="array" ref="J23:J35">LEN(J2:J14)</f>
        <v>1</v>
      </c>
      <c r="K23" s="2" cm="1">
        <f t="array" ref="K23:K35">LEN(K2:K14)</f>
        <v>1</v>
      </c>
      <c r="L23" s="2" cm="1">
        <f t="array" ref="L23:L35">LEN(L2:L14)</f>
        <v>1</v>
      </c>
      <c r="M23" s="2" cm="1">
        <f t="array" ref="M23:M35">LEN(M2:M14)</f>
        <v>1</v>
      </c>
      <c r="N23" s="2" cm="1">
        <f t="array" ref="N23:N35">LEN(N2:N14)</f>
        <v>1</v>
      </c>
      <c r="O23" s="2" cm="1">
        <f t="array" ref="O23:O35">LEN(O2:O14)</f>
        <v>1</v>
      </c>
      <c r="P23" s="2" cm="1">
        <f t="array" ref="P23:P35">LEN(P2:P14)</f>
        <v>1</v>
      </c>
      <c r="Q23" s="2" cm="1">
        <f t="array" ref="Q23:Q35">LEN(Q2:Q14)</f>
        <v>1</v>
      </c>
      <c r="R23" s="2" cm="1">
        <f t="array" ref="R23:R35">LEN(R2:R14)</f>
        <v>1</v>
      </c>
      <c r="S23" s="2" cm="1">
        <f t="array" ref="S23:S35">LEN(S2:S14)</f>
        <v>1</v>
      </c>
      <c r="T23" s="2" cm="1">
        <f t="array" ref="T23:T35">LEN(T2:T14)</f>
        <v>1</v>
      </c>
      <c r="U23" s="2" cm="1">
        <f t="array" ref="U23:U35">LEN(U2:U14)</f>
        <v>1</v>
      </c>
      <c r="V23" s="2" cm="1">
        <f t="array" ref="V23:V35">LEN(V2:V14)</f>
        <v>1</v>
      </c>
      <c r="W23" s="4" cm="1">
        <f t="array" ref="W23:W35">LEN(W2:W14)</f>
        <v>1</v>
      </c>
      <c r="X23" s="2" cm="1">
        <f t="array" ref="X23:X35">LEN(X2:X14)</f>
        <v>1</v>
      </c>
      <c r="Y23" s="2" cm="1">
        <f t="array" ref="Y23:Y35">LEN(Y2:Y14)</f>
        <v>1</v>
      </c>
      <c r="Z23" s="2" cm="1">
        <f t="array" ref="Z23:Z35">LEN(Z2:Z14)</f>
        <v>1</v>
      </c>
      <c r="AA23" s="2" cm="1">
        <f t="array" ref="AA23:AA35">LEN(AA2:AA14)</f>
        <v>1</v>
      </c>
      <c r="AB23" s="2" cm="1">
        <f t="array" ref="AB23:AB35">LEN(AB2:AB14)</f>
        <v>1</v>
      </c>
      <c r="AC23" s="4" cm="1">
        <f t="array" ref="AC23:AC35">LEN(AC2:AC14)</f>
        <v>1</v>
      </c>
      <c r="AD23" s="2" cm="1">
        <f t="array" ref="AD23:AD35">LEN(AD2:AD14)</f>
        <v>1</v>
      </c>
      <c r="AE23" s="2" cm="1">
        <f t="array" ref="AE23:AE35">LEN(AE2:AE14)</f>
        <v>1</v>
      </c>
      <c r="AF23" s="2" cm="1">
        <f t="array" ref="AF23:AF35">LEN(AF2:AF14)</f>
        <v>1</v>
      </c>
      <c r="AG23" s="2" cm="1">
        <f t="array" ref="AG23:AG35">LEN(AG2:AG14)</f>
        <v>0</v>
      </c>
      <c r="AH23" s="2" cm="1">
        <f t="array" ref="AH23:AH35">LEN(AH2:AH14)</f>
        <v>0</v>
      </c>
      <c r="AI23" s="2" cm="1">
        <f t="array" ref="AI23:AI35">LEN(AI2:AI14)</f>
        <v>0</v>
      </c>
      <c r="AJ23" s="2" cm="1">
        <f t="array" ref="AJ23:AJ35">LEN(AJ2:AJ14)</f>
        <v>0</v>
      </c>
      <c r="AK23" s="2" cm="1">
        <f t="array" ref="AK23:AK35">LEN(AK2:AK14)</f>
        <v>0</v>
      </c>
      <c r="AL23" s="2" cm="1">
        <f t="array" ref="AL23:AL35">LEN(AL2:AL14)</f>
        <v>0</v>
      </c>
      <c r="AM23" s="2" cm="1">
        <f t="array" ref="AM23:AM35">LEN(AM2:AM14)</f>
        <v>0</v>
      </c>
      <c r="AN23" s="2" cm="1">
        <f t="array" ref="AN23:AN35">LEN(AN2:AN14)</f>
        <v>0</v>
      </c>
      <c r="AO23" s="2" cm="1">
        <f t="array" ref="AO23:AO35">LEN(AO2:AO14)</f>
        <v>0</v>
      </c>
      <c r="AP23" s="2" cm="1">
        <f t="array" ref="AP23:AP35">LEN(AP2:AP14)</f>
        <v>0</v>
      </c>
      <c r="AQ23" s="2" cm="1">
        <f t="array" ref="AQ23:AQ35">LEN(AQ2:AQ14)</f>
        <v>0</v>
      </c>
      <c r="AR23" s="2" cm="1">
        <f t="array" ref="AR23:AR35">LEN(AR2:AR14)</f>
        <v>0</v>
      </c>
      <c r="AS23" s="2" cm="1">
        <f t="array" ref="AS23:AS35">LEN(AS2:AS14)</f>
        <v>0</v>
      </c>
      <c r="AT23" s="2" cm="1">
        <f t="array" ref="AT23:AT35">LEN(AT2:AT14)</f>
        <v>0</v>
      </c>
      <c r="AU23" s="2" cm="1">
        <f t="array" ref="AU23:AU35">LEN(AU2:AU14)</f>
        <v>0</v>
      </c>
      <c r="AV23" s="2" cm="1">
        <f t="array" ref="AV23:AV35">LEN(AV2:AV14)</f>
        <v>0</v>
      </c>
      <c r="AW23" s="4" cm="1">
        <f t="array" ref="AW23:AW35">LEN(AW2:AW14)</f>
        <v>0</v>
      </c>
      <c r="AX23" s="2" cm="1">
        <f t="array" ref="AX23:AX35">LEN(AX2:AX14)</f>
        <v>0</v>
      </c>
      <c r="AY23" s="2" cm="1">
        <f t="array" ref="AY23:AY35">LEN(AY2:AY14)</f>
        <v>0</v>
      </c>
    </row>
    <row r="24" spans="1:51" s="2" customFormat="1" x14ac:dyDescent="0.3">
      <c r="C24" s="2">
        <v>1</v>
      </c>
      <c r="D24" s="2">
        <v>1</v>
      </c>
      <c r="E24" s="2">
        <v>1</v>
      </c>
      <c r="F24" s="2">
        <v>1</v>
      </c>
      <c r="G24" s="4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  <c r="S24" s="2">
        <v>1</v>
      </c>
      <c r="T24" s="2">
        <v>1</v>
      </c>
      <c r="U24" s="2">
        <v>1</v>
      </c>
      <c r="V24" s="2">
        <v>1</v>
      </c>
      <c r="W24" s="4">
        <v>1</v>
      </c>
      <c r="X24" s="2">
        <v>1</v>
      </c>
      <c r="Y24" s="2">
        <v>1</v>
      </c>
      <c r="Z24" s="2">
        <v>1</v>
      </c>
      <c r="AA24" s="2">
        <v>1</v>
      </c>
      <c r="AB24" s="2">
        <v>1</v>
      </c>
      <c r="AC24" s="4">
        <v>1</v>
      </c>
      <c r="AD24" s="2">
        <v>1</v>
      </c>
      <c r="AE24" s="2">
        <v>1</v>
      </c>
      <c r="AF24" s="2">
        <v>1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4">
        <v>0</v>
      </c>
      <c r="AX24" s="2">
        <v>0</v>
      </c>
      <c r="AY24" s="2">
        <v>0</v>
      </c>
    </row>
    <row r="25" spans="1:51" s="2" customFormat="1" x14ac:dyDescent="0.3">
      <c r="C25" s="2">
        <v>1</v>
      </c>
      <c r="D25" s="2">
        <v>1</v>
      </c>
      <c r="E25" s="2">
        <v>1</v>
      </c>
      <c r="F25" s="2">
        <v>1</v>
      </c>
      <c r="G25" s="4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  <c r="S25" s="2">
        <v>1</v>
      </c>
      <c r="T25" s="2">
        <v>1</v>
      </c>
      <c r="U25" s="2">
        <v>1</v>
      </c>
      <c r="V25" s="2">
        <v>1</v>
      </c>
      <c r="W25" s="4">
        <v>1</v>
      </c>
      <c r="X25" s="2">
        <v>1</v>
      </c>
      <c r="Y25" s="2">
        <v>1</v>
      </c>
      <c r="Z25" s="2">
        <v>1</v>
      </c>
      <c r="AA25" s="2">
        <v>1</v>
      </c>
      <c r="AB25" s="2">
        <v>1</v>
      </c>
      <c r="AC25" s="4">
        <v>1</v>
      </c>
      <c r="AD25" s="2">
        <v>1</v>
      </c>
      <c r="AE25" s="2">
        <v>1</v>
      </c>
      <c r="AF25" s="2">
        <v>1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4">
        <v>0</v>
      </c>
      <c r="AX25" s="2">
        <v>0</v>
      </c>
      <c r="AY25" s="2">
        <v>0</v>
      </c>
    </row>
    <row r="26" spans="1:51" s="2" customFormat="1" x14ac:dyDescent="0.3">
      <c r="C26" s="2">
        <v>1</v>
      </c>
      <c r="D26" s="2">
        <v>1</v>
      </c>
      <c r="E26" s="2">
        <v>1</v>
      </c>
      <c r="F26" s="2">
        <v>1</v>
      </c>
      <c r="G26" s="4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  <c r="S26" s="2">
        <v>1</v>
      </c>
      <c r="T26" s="2">
        <v>1</v>
      </c>
      <c r="U26" s="2">
        <v>1</v>
      </c>
      <c r="V26" s="2">
        <v>1</v>
      </c>
      <c r="W26" s="4">
        <v>1</v>
      </c>
      <c r="X26" s="2">
        <v>1</v>
      </c>
      <c r="Y26" s="2">
        <v>1</v>
      </c>
      <c r="Z26" s="2">
        <v>1</v>
      </c>
      <c r="AA26" s="2">
        <v>1</v>
      </c>
      <c r="AB26" s="2">
        <v>1</v>
      </c>
      <c r="AC26" s="4">
        <v>1</v>
      </c>
      <c r="AD26" s="2">
        <v>1</v>
      </c>
      <c r="AE26" s="2">
        <v>1</v>
      </c>
      <c r="AF26" s="2">
        <v>1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4">
        <v>0</v>
      </c>
      <c r="AX26" s="2">
        <v>0</v>
      </c>
      <c r="AY26" s="2">
        <v>0</v>
      </c>
    </row>
    <row r="27" spans="1:51" s="2" customFormat="1" x14ac:dyDescent="0.3">
      <c r="C27" s="2">
        <v>1</v>
      </c>
      <c r="D27" s="2">
        <v>1</v>
      </c>
      <c r="E27" s="2">
        <v>1</v>
      </c>
      <c r="F27" s="2">
        <v>1</v>
      </c>
      <c r="G27" s="4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  <c r="S27" s="2">
        <v>1</v>
      </c>
      <c r="T27" s="2">
        <v>1</v>
      </c>
      <c r="U27" s="2">
        <v>1</v>
      </c>
      <c r="V27" s="2">
        <v>1</v>
      </c>
      <c r="W27" s="4">
        <v>1</v>
      </c>
      <c r="X27" s="2">
        <v>1</v>
      </c>
      <c r="Y27" s="2">
        <v>1</v>
      </c>
      <c r="Z27" s="2">
        <v>1</v>
      </c>
      <c r="AA27" s="2">
        <v>1</v>
      </c>
      <c r="AB27" s="2">
        <v>1</v>
      </c>
      <c r="AC27" s="4">
        <v>1</v>
      </c>
      <c r="AD27" s="2">
        <v>1</v>
      </c>
      <c r="AE27" s="2">
        <v>1</v>
      </c>
      <c r="AF27" s="2">
        <v>1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4">
        <v>0</v>
      </c>
      <c r="AX27" s="2">
        <v>0</v>
      </c>
      <c r="AY27" s="2">
        <v>0</v>
      </c>
    </row>
    <row r="28" spans="1:51" s="2" customFormat="1" x14ac:dyDescent="0.3">
      <c r="C28" s="2">
        <v>1</v>
      </c>
      <c r="D28" s="2">
        <v>1</v>
      </c>
      <c r="E28" s="2">
        <v>1</v>
      </c>
      <c r="F28" s="2">
        <v>1</v>
      </c>
      <c r="G28" s="4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  <c r="S28" s="2">
        <v>1</v>
      </c>
      <c r="T28" s="2">
        <v>1</v>
      </c>
      <c r="U28" s="2">
        <v>1</v>
      </c>
      <c r="V28" s="2">
        <v>1</v>
      </c>
      <c r="W28" s="4">
        <v>1</v>
      </c>
      <c r="X28" s="2">
        <v>1</v>
      </c>
      <c r="Y28" s="2">
        <v>1</v>
      </c>
      <c r="Z28" s="2">
        <v>1</v>
      </c>
      <c r="AA28" s="2">
        <v>1</v>
      </c>
      <c r="AB28" s="2">
        <v>1</v>
      </c>
      <c r="AC28" s="4">
        <v>1</v>
      </c>
      <c r="AD28" s="2">
        <v>1</v>
      </c>
      <c r="AE28" s="2">
        <v>1</v>
      </c>
      <c r="AF28" s="2">
        <v>1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4">
        <v>0</v>
      </c>
      <c r="AX28" s="2">
        <v>0</v>
      </c>
      <c r="AY28" s="2">
        <v>0</v>
      </c>
    </row>
    <row r="29" spans="1:51" s="2" customFormat="1" x14ac:dyDescent="0.3">
      <c r="C29" s="2">
        <v>1</v>
      </c>
      <c r="D29" s="2">
        <v>1</v>
      </c>
      <c r="E29" s="2">
        <v>1</v>
      </c>
      <c r="F29" s="2">
        <v>1</v>
      </c>
      <c r="G29" s="4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  <c r="S29" s="2">
        <v>1</v>
      </c>
      <c r="T29" s="2">
        <v>1</v>
      </c>
      <c r="U29" s="2">
        <v>1</v>
      </c>
      <c r="V29" s="2">
        <v>1</v>
      </c>
      <c r="W29" s="4">
        <v>1</v>
      </c>
      <c r="X29" s="2">
        <v>1</v>
      </c>
      <c r="Y29" s="2">
        <v>1</v>
      </c>
      <c r="Z29" s="2">
        <v>1</v>
      </c>
      <c r="AA29" s="2">
        <v>1</v>
      </c>
      <c r="AB29" s="2">
        <v>1</v>
      </c>
      <c r="AC29" s="4">
        <v>1</v>
      </c>
      <c r="AD29" s="2">
        <v>1</v>
      </c>
      <c r="AE29" s="2">
        <v>1</v>
      </c>
      <c r="AF29" s="2">
        <v>1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4">
        <v>0</v>
      </c>
      <c r="AX29" s="2">
        <v>0</v>
      </c>
      <c r="AY29" s="2">
        <v>0</v>
      </c>
    </row>
    <row r="30" spans="1:51" s="2" customFormat="1" x14ac:dyDescent="0.3">
      <c r="C30" s="2">
        <v>1</v>
      </c>
      <c r="D30" s="2">
        <v>1</v>
      </c>
      <c r="E30" s="2">
        <v>1</v>
      </c>
      <c r="F30" s="2">
        <v>1</v>
      </c>
      <c r="G30" s="4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  <c r="S30" s="2">
        <v>1</v>
      </c>
      <c r="T30" s="2">
        <v>1</v>
      </c>
      <c r="U30" s="2">
        <v>1</v>
      </c>
      <c r="V30" s="2">
        <v>1</v>
      </c>
      <c r="W30" s="4">
        <v>1</v>
      </c>
      <c r="X30" s="2">
        <v>1</v>
      </c>
      <c r="Y30" s="2">
        <v>1</v>
      </c>
      <c r="Z30" s="2">
        <v>1</v>
      </c>
      <c r="AA30" s="2">
        <v>1</v>
      </c>
      <c r="AB30" s="2">
        <v>1</v>
      </c>
      <c r="AC30" s="4">
        <v>1</v>
      </c>
      <c r="AD30" s="2">
        <v>1</v>
      </c>
      <c r="AE30" s="2">
        <v>1</v>
      </c>
      <c r="AF30" s="2">
        <v>1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4">
        <v>0</v>
      </c>
      <c r="AX30" s="2">
        <v>0</v>
      </c>
      <c r="AY30" s="2">
        <v>0</v>
      </c>
    </row>
    <row r="31" spans="1:51" s="2" customFormat="1" x14ac:dyDescent="0.3">
      <c r="C31" s="2">
        <v>1</v>
      </c>
      <c r="D31" s="2">
        <v>1</v>
      </c>
      <c r="E31" s="2">
        <v>1</v>
      </c>
      <c r="F31" s="2">
        <v>1</v>
      </c>
      <c r="G31" s="4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  <c r="S31" s="2">
        <v>1</v>
      </c>
      <c r="T31" s="2">
        <v>1</v>
      </c>
      <c r="U31" s="2">
        <v>1</v>
      </c>
      <c r="V31" s="2">
        <v>1</v>
      </c>
      <c r="W31" s="4">
        <v>1</v>
      </c>
      <c r="X31" s="2">
        <v>1</v>
      </c>
      <c r="Y31" s="2">
        <v>1</v>
      </c>
      <c r="Z31" s="2">
        <v>1</v>
      </c>
      <c r="AA31" s="2">
        <v>1</v>
      </c>
      <c r="AB31" s="2">
        <v>1</v>
      </c>
      <c r="AC31" s="4">
        <v>1</v>
      </c>
      <c r="AD31" s="2">
        <v>1</v>
      </c>
      <c r="AE31" s="2">
        <v>1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4">
        <v>0</v>
      </c>
      <c r="AX31" s="2">
        <v>0</v>
      </c>
      <c r="AY31" s="2">
        <v>0</v>
      </c>
    </row>
    <row r="32" spans="1:51" s="2" customFormat="1" x14ac:dyDescent="0.3">
      <c r="C32" s="2">
        <v>1</v>
      </c>
      <c r="D32" s="2">
        <v>1</v>
      </c>
      <c r="E32" s="2">
        <v>1</v>
      </c>
      <c r="F32" s="2">
        <v>1</v>
      </c>
      <c r="G32" s="4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  <c r="S32" s="2">
        <v>1</v>
      </c>
      <c r="T32" s="2">
        <v>1</v>
      </c>
      <c r="U32" s="2">
        <v>1</v>
      </c>
      <c r="V32" s="2">
        <v>1</v>
      </c>
      <c r="W32" s="4">
        <v>1</v>
      </c>
      <c r="X32" s="2">
        <v>1</v>
      </c>
      <c r="Y32" s="2">
        <v>1</v>
      </c>
      <c r="Z32" s="2">
        <v>1</v>
      </c>
      <c r="AA32" s="2">
        <v>1</v>
      </c>
      <c r="AB32" s="2">
        <v>1</v>
      </c>
      <c r="AC32" s="4">
        <v>1</v>
      </c>
      <c r="AD32" s="2">
        <v>1</v>
      </c>
      <c r="AE32" s="2">
        <v>1</v>
      </c>
      <c r="AF32" s="2">
        <v>1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4">
        <v>0</v>
      </c>
      <c r="AX32" s="2">
        <v>0</v>
      </c>
      <c r="AY32" s="2">
        <v>0</v>
      </c>
    </row>
    <row r="33" spans="3:51" s="2" customFormat="1" x14ac:dyDescent="0.3">
      <c r="C33" s="2">
        <v>1</v>
      </c>
      <c r="D33" s="2">
        <v>1</v>
      </c>
      <c r="E33" s="2">
        <v>1</v>
      </c>
      <c r="F33" s="2">
        <v>1</v>
      </c>
      <c r="G33" s="4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  <c r="S33" s="2">
        <v>1</v>
      </c>
      <c r="T33" s="2">
        <v>1</v>
      </c>
      <c r="U33" s="2">
        <v>1</v>
      </c>
      <c r="V33" s="2">
        <v>1</v>
      </c>
      <c r="W33" s="4">
        <v>1</v>
      </c>
      <c r="X33" s="2">
        <v>1</v>
      </c>
      <c r="Y33" s="2">
        <v>1</v>
      </c>
      <c r="Z33" s="2">
        <v>1</v>
      </c>
      <c r="AA33" s="2">
        <v>1</v>
      </c>
      <c r="AB33" s="2">
        <v>1</v>
      </c>
      <c r="AC33" s="4">
        <v>1</v>
      </c>
      <c r="AD33" s="2">
        <v>1</v>
      </c>
      <c r="AE33" s="2">
        <v>1</v>
      </c>
      <c r="AF33" s="2">
        <v>1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4">
        <v>0</v>
      </c>
      <c r="AX33" s="2">
        <v>0</v>
      </c>
      <c r="AY33" s="2">
        <v>0</v>
      </c>
    </row>
    <row r="34" spans="3:51" s="2" customFormat="1" x14ac:dyDescent="0.3">
      <c r="C34" s="2">
        <v>1</v>
      </c>
      <c r="D34" s="2">
        <v>1</v>
      </c>
      <c r="E34" s="2">
        <v>1</v>
      </c>
      <c r="F34" s="2">
        <v>1</v>
      </c>
      <c r="G34" s="4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  <c r="S34" s="2">
        <v>1</v>
      </c>
      <c r="T34" s="2">
        <v>1</v>
      </c>
      <c r="U34" s="2">
        <v>1</v>
      </c>
      <c r="V34" s="2">
        <v>1</v>
      </c>
      <c r="W34" s="4">
        <v>1</v>
      </c>
      <c r="X34" s="2">
        <v>1</v>
      </c>
      <c r="Y34" s="2">
        <v>1</v>
      </c>
      <c r="Z34" s="2">
        <v>1</v>
      </c>
      <c r="AA34" s="2">
        <v>1</v>
      </c>
      <c r="AB34" s="2">
        <v>1</v>
      </c>
      <c r="AC34" s="4">
        <v>1</v>
      </c>
      <c r="AD34" s="2">
        <v>1</v>
      </c>
      <c r="AE34" s="2">
        <v>1</v>
      </c>
      <c r="AF34" s="2">
        <v>1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4">
        <v>0</v>
      </c>
      <c r="AX34" s="2">
        <v>0</v>
      </c>
      <c r="AY34" s="2">
        <v>0</v>
      </c>
    </row>
    <row r="35" spans="3:51" s="2" customFormat="1" x14ac:dyDescent="0.3">
      <c r="C35" s="2">
        <v>1</v>
      </c>
      <c r="D35" s="2">
        <v>1</v>
      </c>
      <c r="E35" s="2">
        <v>1</v>
      </c>
      <c r="F35" s="2">
        <v>1</v>
      </c>
      <c r="G35" s="4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  <c r="S35" s="2">
        <v>1</v>
      </c>
      <c r="T35" s="2">
        <v>1</v>
      </c>
      <c r="U35" s="2">
        <v>1</v>
      </c>
      <c r="V35" s="2">
        <v>1</v>
      </c>
      <c r="W35" s="4">
        <v>1</v>
      </c>
      <c r="X35" s="2">
        <v>1</v>
      </c>
      <c r="Y35" s="2">
        <v>1</v>
      </c>
      <c r="Z35" s="2">
        <v>1</v>
      </c>
      <c r="AA35" s="2">
        <v>1</v>
      </c>
      <c r="AB35" s="2">
        <v>1</v>
      </c>
      <c r="AC35" s="4">
        <v>1</v>
      </c>
      <c r="AD35" s="2">
        <v>1</v>
      </c>
      <c r="AE35" s="2">
        <v>1</v>
      </c>
      <c r="AF35" s="2">
        <v>1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4">
        <v>0</v>
      </c>
      <c r="AX35" s="2">
        <v>0</v>
      </c>
      <c r="AY35" s="2">
        <v>0</v>
      </c>
    </row>
    <row r="36" spans="3:51" s="2" customFormat="1" x14ac:dyDescent="0.3">
      <c r="G36" s="4"/>
      <c r="W36" s="4"/>
      <c r="AC36" s="4"/>
      <c r="AW36" s="4"/>
    </row>
    <row r="37" spans="3:51" s="2" customFormat="1" x14ac:dyDescent="0.3">
      <c r="C37" s="2">
        <v>4</v>
      </c>
      <c r="D37" s="2">
        <v>4</v>
      </c>
      <c r="E37" s="2">
        <v>4</v>
      </c>
      <c r="F37" s="2">
        <v>2</v>
      </c>
      <c r="G37" s="4">
        <v>4</v>
      </c>
      <c r="H37" s="2">
        <v>4</v>
      </c>
      <c r="I37" s="2">
        <v>2</v>
      </c>
      <c r="J37" s="2">
        <v>4</v>
      </c>
      <c r="K37" s="2">
        <v>2</v>
      </c>
      <c r="L37" s="2">
        <v>2</v>
      </c>
      <c r="M37" s="2">
        <v>4</v>
      </c>
      <c r="N37" s="2">
        <v>4</v>
      </c>
      <c r="O37" s="2">
        <v>5</v>
      </c>
      <c r="P37" s="2">
        <v>4</v>
      </c>
      <c r="Q37" s="2">
        <v>4</v>
      </c>
      <c r="R37" s="2">
        <v>2</v>
      </c>
      <c r="S37" s="2">
        <v>2</v>
      </c>
      <c r="T37" s="2">
        <v>2</v>
      </c>
      <c r="U37" s="2">
        <v>2</v>
      </c>
      <c r="V37" s="2">
        <v>2</v>
      </c>
      <c r="W37" s="4">
        <v>1</v>
      </c>
      <c r="X37" s="2">
        <v>1</v>
      </c>
      <c r="Y37" s="2">
        <v>1</v>
      </c>
      <c r="Z37" s="2">
        <v>1</v>
      </c>
      <c r="AA37" s="2">
        <v>1</v>
      </c>
      <c r="AB37" s="2">
        <v>2</v>
      </c>
      <c r="AC37" s="4">
        <v>1</v>
      </c>
      <c r="AD37" s="2">
        <v>1</v>
      </c>
      <c r="AE37" s="2">
        <v>1</v>
      </c>
      <c r="AF37" s="2">
        <v>1</v>
      </c>
      <c r="AG37" s="2">
        <v>1</v>
      </c>
      <c r="AH37" s="2">
        <v>1</v>
      </c>
      <c r="AI37" s="2">
        <v>1</v>
      </c>
      <c r="AJ37" s="2">
        <v>1</v>
      </c>
      <c r="AK37" s="2">
        <v>1</v>
      </c>
      <c r="AL37" s="2">
        <v>1</v>
      </c>
      <c r="AM37" s="2">
        <v>1</v>
      </c>
      <c r="AN37" s="2">
        <v>1</v>
      </c>
      <c r="AO37" s="2">
        <v>1</v>
      </c>
      <c r="AP37" s="2">
        <v>1</v>
      </c>
      <c r="AQ37" s="2">
        <v>1</v>
      </c>
      <c r="AR37" s="2">
        <v>1</v>
      </c>
      <c r="AS37" s="2">
        <v>1</v>
      </c>
      <c r="AT37" s="2">
        <v>1</v>
      </c>
      <c r="AU37" s="2">
        <v>1</v>
      </c>
      <c r="AV37" s="2">
        <v>1</v>
      </c>
      <c r="AW37" s="4">
        <v>1</v>
      </c>
      <c r="AX37" s="2">
        <v>4</v>
      </c>
      <c r="AY37" s="2">
        <v>4</v>
      </c>
    </row>
    <row r="52" spans="3:55" ht="18" x14ac:dyDescent="0.35">
      <c r="D52" s="3"/>
      <c r="E52" s="3"/>
      <c r="F52" s="3"/>
      <c r="G52" s="5"/>
      <c r="H52" s="3"/>
      <c r="I52" s="3"/>
      <c r="J52" s="3"/>
      <c r="K52" s="3"/>
      <c r="L52" s="3"/>
      <c r="M52" s="3"/>
      <c r="N52" s="3"/>
      <c r="O52" s="3"/>
      <c r="P52" s="5"/>
      <c r="Q52" s="3"/>
      <c r="R52" s="3"/>
      <c r="S52" s="3"/>
      <c r="T52" s="3"/>
      <c r="U52" s="3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3"/>
      <c r="AJ52" s="3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3"/>
      <c r="AW52" s="5"/>
      <c r="AX52" s="3"/>
      <c r="AY52" s="3"/>
      <c r="AZ52" s="3"/>
      <c r="BA52" s="3"/>
      <c r="BB52" s="3"/>
      <c r="BC52" s="3"/>
    </row>
    <row r="53" spans="3:55" x14ac:dyDescent="0.3">
      <c r="C53">
        <f>IF(OR($B2=MID(C2,1,1),$B2=MID(C2,2,1),$B2=MID(C2,3,1)),1,0)</f>
        <v>0</v>
      </c>
      <c r="D53">
        <f t="shared" ref="D53:AY54" si="51">IF(OR($B2=MID(D2,1,1),$B2=MID(D2,2,1),$B2=MID(D2,3,1)),1,0)</f>
        <v>0</v>
      </c>
      <c r="E53">
        <f t="shared" si="51"/>
        <v>0</v>
      </c>
      <c r="F53">
        <f t="shared" si="51"/>
        <v>0</v>
      </c>
      <c r="G53">
        <f t="shared" si="51"/>
        <v>0</v>
      </c>
      <c r="H53">
        <f t="shared" si="51"/>
        <v>0</v>
      </c>
      <c r="I53">
        <f t="shared" si="51"/>
        <v>1</v>
      </c>
      <c r="J53">
        <f t="shared" si="51"/>
        <v>1</v>
      </c>
      <c r="K53">
        <f t="shared" si="51"/>
        <v>1</v>
      </c>
      <c r="L53">
        <f t="shared" si="51"/>
        <v>1</v>
      </c>
      <c r="M53">
        <f t="shared" si="51"/>
        <v>1</v>
      </c>
      <c r="N53">
        <f t="shared" si="51"/>
        <v>1</v>
      </c>
      <c r="O53">
        <f t="shared" si="51"/>
        <v>1</v>
      </c>
      <c r="P53">
        <f t="shared" si="51"/>
        <v>1</v>
      </c>
      <c r="Q53">
        <f t="shared" si="51"/>
        <v>1</v>
      </c>
      <c r="R53">
        <f t="shared" si="51"/>
        <v>1</v>
      </c>
      <c r="S53">
        <f t="shared" si="51"/>
        <v>1</v>
      </c>
      <c r="T53">
        <f t="shared" si="51"/>
        <v>1</v>
      </c>
      <c r="U53">
        <f t="shared" si="51"/>
        <v>1</v>
      </c>
      <c r="V53">
        <f t="shared" si="51"/>
        <v>1</v>
      </c>
      <c r="W53">
        <f t="shared" si="51"/>
        <v>1</v>
      </c>
      <c r="X53">
        <f t="shared" si="51"/>
        <v>1</v>
      </c>
      <c r="Y53">
        <f t="shared" si="51"/>
        <v>1</v>
      </c>
      <c r="Z53">
        <f t="shared" si="51"/>
        <v>1</v>
      </c>
      <c r="AA53">
        <f t="shared" si="51"/>
        <v>1</v>
      </c>
      <c r="AB53">
        <f t="shared" si="51"/>
        <v>1</v>
      </c>
      <c r="AC53">
        <f t="shared" si="51"/>
        <v>1</v>
      </c>
      <c r="AD53">
        <f t="shared" si="51"/>
        <v>1</v>
      </c>
      <c r="AE53">
        <f t="shared" si="51"/>
        <v>1</v>
      </c>
      <c r="AF53">
        <f t="shared" si="51"/>
        <v>1</v>
      </c>
      <c r="AG53">
        <f t="shared" si="51"/>
        <v>0</v>
      </c>
      <c r="AH53">
        <f t="shared" si="51"/>
        <v>0</v>
      </c>
      <c r="AI53">
        <f t="shared" si="51"/>
        <v>0</v>
      </c>
      <c r="AJ53">
        <f t="shared" si="51"/>
        <v>0</v>
      </c>
      <c r="AK53">
        <f t="shared" si="51"/>
        <v>0</v>
      </c>
      <c r="AL53">
        <f t="shared" si="51"/>
        <v>0</v>
      </c>
      <c r="AM53">
        <f t="shared" si="51"/>
        <v>0</v>
      </c>
      <c r="AN53">
        <f t="shared" si="51"/>
        <v>0</v>
      </c>
      <c r="AO53">
        <f t="shared" si="51"/>
        <v>0</v>
      </c>
      <c r="AP53">
        <f t="shared" si="51"/>
        <v>0</v>
      </c>
      <c r="AQ53">
        <f t="shared" si="51"/>
        <v>0</v>
      </c>
      <c r="AR53">
        <f t="shared" si="51"/>
        <v>0</v>
      </c>
      <c r="AS53">
        <f t="shared" si="51"/>
        <v>0</v>
      </c>
      <c r="AT53">
        <f t="shared" si="51"/>
        <v>0</v>
      </c>
      <c r="AU53">
        <f t="shared" si="51"/>
        <v>0</v>
      </c>
      <c r="AV53">
        <f t="shared" si="51"/>
        <v>0</v>
      </c>
      <c r="AW53">
        <f t="shared" si="51"/>
        <v>0</v>
      </c>
      <c r="AX53">
        <f t="shared" si="51"/>
        <v>0</v>
      </c>
      <c r="AY53">
        <f t="shared" si="51"/>
        <v>0</v>
      </c>
    </row>
    <row r="54" spans="3:55" x14ac:dyDescent="0.3">
      <c r="C54">
        <f t="shared" ref="C54:R65" si="52">IF(OR($B3=MID(C3,1,1),$B3=MID(C3,2,1),$B3=MID(C3,3,1)),1,0)</f>
        <v>0</v>
      </c>
      <c r="D54">
        <f t="shared" si="52"/>
        <v>0</v>
      </c>
      <c r="E54">
        <f t="shared" si="52"/>
        <v>1</v>
      </c>
      <c r="F54">
        <f t="shared" si="52"/>
        <v>1</v>
      </c>
      <c r="G54">
        <f t="shared" si="52"/>
        <v>1</v>
      </c>
      <c r="H54">
        <f t="shared" si="52"/>
        <v>1</v>
      </c>
      <c r="I54">
        <f t="shared" si="52"/>
        <v>0</v>
      </c>
      <c r="J54">
        <f t="shared" si="52"/>
        <v>0</v>
      </c>
      <c r="K54">
        <f t="shared" si="52"/>
        <v>0</v>
      </c>
      <c r="L54">
        <f t="shared" si="52"/>
        <v>0</v>
      </c>
      <c r="M54">
        <f t="shared" si="52"/>
        <v>0</v>
      </c>
      <c r="N54">
        <f t="shared" si="52"/>
        <v>1</v>
      </c>
      <c r="O54">
        <f t="shared" si="52"/>
        <v>1</v>
      </c>
      <c r="P54">
        <f t="shared" si="52"/>
        <v>1</v>
      </c>
      <c r="Q54">
        <f t="shared" si="52"/>
        <v>1</v>
      </c>
      <c r="R54">
        <f t="shared" si="52"/>
        <v>1</v>
      </c>
      <c r="S54">
        <f t="shared" si="51"/>
        <v>1</v>
      </c>
      <c r="T54">
        <f t="shared" si="51"/>
        <v>1</v>
      </c>
      <c r="U54">
        <f t="shared" si="51"/>
        <v>1</v>
      </c>
      <c r="V54">
        <f t="shared" si="51"/>
        <v>1</v>
      </c>
      <c r="W54">
        <f t="shared" si="51"/>
        <v>1</v>
      </c>
      <c r="X54">
        <f t="shared" si="51"/>
        <v>1</v>
      </c>
      <c r="Y54">
        <f t="shared" si="51"/>
        <v>1</v>
      </c>
      <c r="Z54">
        <f t="shared" si="51"/>
        <v>1</v>
      </c>
      <c r="AA54">
        <f t="shared" si="51"/>
        <v>1</v>
      </c>
      <c r="AB54">
        <f t="shared" si="51"/>
        <v>1</v>
      </c>
      <c r="AC54">
        <f t="shared" si="51"/>
        <v>1</v>
      </c>
      <c r="AD54">
        <f t="shared" si="51"/>
        <v>1</v>
      </c>
      <c r="AE54">
        <f t="shared" si="51"/>
        <v>1</v>
      </c>
      <c r="AF54">
        <f t="shared" si="51"/>
        <v>1</v>
      </c>
      <c r="AG54">
        <f t="shared" si="51"/>
        <v>0</v>
      </c>
      <c r="AH54">
        <f t="shared" si="51"/>
        <v>0</v>
      </c>
      <c r="AI54">
        <f t="shared" si="51"/>
        <v>0</v>
      </c>
      <c r="AJ54">
        <f t="shared" si="51"/>
        <v>0</v>
      </c>
      <c r="AK54">
        <f t="shared" si="51"/>
        <v>0</v>
      </c>
      <c r="AL54">
        <f t="shared" si="51"/>
        <v>0</v>
      </c>
      <c r="AM54">
        <f t="shared" si="51"/>
        <v>0</v>
      </c>
      <c r="AN54">
        <f t="shared" si="51"/>
        <v>0</v>
      </c>
      <c r="AO54">
        <f t="shared" si="51"/>
        <v>0</v>
      </c>
      <c r="AP54">
        <f t="shared" si="51"/>
        <v>0</v>
      </c>
      <c r="AQ54">
        <f t="shared" si="51"/>
        <v>0</v>
      </c>
      <c r="AR54">
        <f t="shared" si="51"/>
        <v>0</v>
      </c>
      <c r="AS54">
        <f t="shared" si="51"/>
        <v>0</v>
      </c>
      <c r="AT54">
        <f t="shared" si="51"/>
        <v>0</v>
      </c>
      <c r="AU54">
        <f t="shared" si="51"/>
        <v>0</v>
      </c>
      <c r="AV54">
        <f t="shared" si="51"/>
        <v>0</v>
      </c>
      <c r="AW54">
        <f t="shared" si="51"/>
        <v>0</v>
      </c>
      <c r="AX54">
        <f t="shared" si="51"/>
        <v>0</v>
      </c>
      <c r="AY54">
        <f t="shared" si="51"/>
        <v>0</v>
      </c>
    </row>
    <row r="55" spans="3:55" x14ac:dyDescent="0.3">
      <c r="C55">
        <f t="shared" si="52"/>
        <v>0</v>
      </c>
      <c r="D55">
        <f t="shared" ref="D55:AY58" si="53">IF(OR($B4=MID(D4,1,1),$B4=MID(D4,2,1),$B4=MID(D4,3,1)),1,0)</f>
        <v>0</v>
      </c>
      <c r="E55">
        <f t="shared" si="53"/>
        <v>1</v>
      </c>
      <c r="F55">
        <f t="shared" si="53"/>
        <v>1</v>
      </c>
      <c r="G55">
        <f t="shared" si="53"/>
        <v>1</v>
      </c>
      <c r="H55">
        <f t="shared" si="53"/>
        <v>1</v>
      </c>
      <c r="I55">
        <f t="shared" si="53"/>
        <v>0</v>
      </c>
      <c r="J55">
        <f t="shared" si="53"/>
        <v>0</v>
      </c>
      <c r="K55">
        <f t="shared" si="53"/>
        <v>0</v>
      </c>
      <c r="L55">
        <f t="shared" si="53"/>
        <v>0</v>
      </c>
      <c r="M55">
        <f t="shared" si="53"/>
        <v>0</v>
      </c>
      <c r="N55">
        <f t="shared" si="53"/>
        <v>0</v>
      </c>
      <c r="O55">
        <f t="shared" si="53"/>
        <v>0</v>
      </c>
      <c r="P55">
        <f t="shared" si="53"/>
        <v>0</v>
      </c>
      <c r="Q55">
        <f t="shared" si="53"/>
        <v>0</v>
      </c>
      <c r="R55">
        <f t="shared" si="53"/>
        <v>0</v>
      </c>
      <c r="S55">
        <f t="shared" si="53"/>
        <v>0</v>
      </c>
      <c r="T55">
        <f t="shared" si="53"/>
        <v>0</v>
      </c>
      <c r="U55">
        <f t="shared" si="53"/>
        <v>0</v>
      </c>
      <c r="V55">
        <f t="shared" si="53"/>
        <v>0</v>
      </c>
      <c r="W55">
        <f t="shared" si="53"/>
        <v>0</v>
      </c>
      <c r="X55">
        <f t="shared" si="53"/>
        <v>1</v>
      </c>
      <c r="Y55">
        <f t="shared" si="53"/>
        <v>1</v>
      </c>
      <c r="Z55">
        <f t="shared" si="53"/>
        <v>1</v>
      </c>
      <c r="AA55">
        <f t="shared" si="53"/>
        <v>1</v>
      </c>
      <c r="AB55">
        <f t="shared" si="53"/>
        <v>1</v>
      </c>
      <c r="AC55">
        <f t="shared" si="53"/>
        <v>1</v>
      </c>
      <c r="AD55">
        <f t="shared" si="53"/>
        <v>1</v>
      </c>
      <c r="AE55">
        <f t="shared" si="53"/>
        <v>1</v>
      </c>
      <c r="AF55">
        <f t="shared" si="53"/>
        <v>1</v>
      </c>
      <c r="AG55">
        <f t="shared" si="53"/>
        <v>0</v>
      </c>
      <c r="AH55">
        <f t="shared" si="53"/>
        <v>0</v>
      </c>
      <c r="AI55">
        <f t="shared" si="53"/>
        <v>0</v>
      </c>
      <c r="AJ55">
        <f t="shared" si="53"/>
        <v>0</v>
      </c>
      <c r="AK55">
        <f t="shared" si="53"/>
        <v>0</v>
      </c>
      <c r="AL55">
        <f t="shared" si="53"/>
        <v>0</v>
      </c>
      <c r="AM55">
        <f t="shared" si="53"/>
        <v>0</v>
      </c>
      <c r="AN55">
        <f t="shared" si="53"/>
        <v>0</v>
      </c>
      <c r="AO55">
        <f t="shared" si="53"/>
        <v>0</v>
      </c>
      <c r="AP55">
        <f t="shared" si="53"/>
        <v>0</v>
      </c>
      <c r="AQ55">
        <f t="shared" si="53"/>
        <v>0</v>
      </c>
      <c r="AR55">
        <f t="shared" si="53"/>
        <v>0</v>
      </c>
      <c r="AS55">
        <f t="shared" si="53"/>
        <v>0</v>
      </c>
      <c r="AT55">
        <f t="shared" si="53"/>
        <v>0</v>
      </c>
      <c r="AU55">
        <f t="shared" si="53"/>
        <v>0</v>
      </c>
      <c r="AV55">
        <f t="shared" si="53"/>
        <v>0</v>
      </c>
      <c r="AW55">
        <f t="shared" si="53"/>
        <v>0</v>
      </c>
      <c r="AX55">
        <f t="shared" si="53"/>
        <v>0</v>
      </c>
      <c r="AY55">
        <f t="shared" si="53"/>
        <v>0</v>
      </c>
    </row>
    <row r="56" spans="3:55" x14ac:dyDescent="0.3">
      <c r="C56">
        <f t="shared" si="52"/>
        <v>1</v>
      </c>
      <c r="D56">
        <f t="shared" si="53"/>
        <v>1</v>
      </c>
      <c r="E56">
        <f t="shared" si="53"/>
        <v>0</v>
      </c>
      <c r="F56">
        <f t="shared" si="53"/>
        <v>0</v>
      </c>
      <c r="G56">
        <f t="shared" si="53"/>
        <v>0</v>
      </c>
      <c r="H56">
        <f t="shared" si="53"/>
        <v>0</v>
      </c>
      <c r="I56">
        <f t="shared" si="53"/>
        <v>1</v>
      </c>
      <c r="J56">
        <f t="shared" si="53"/>
        <v>1</v>
      </c>
      <c r="K56">
        <f t="shared" si="53"/>
        <v>0</v>
      </c>
      <c r="L56">
        <f t="shared" si="53"/>
        <v>0</v>
      </c>
      <c r="M56">
        <f t="shared" si="53"/>
        <v>1</v>
      </c>
      <c r="N56">
        <f t="shared" si="53"/>
        <v>0</v>
      </c>
      <c r="O56">
        <f t="shared" si="53"/>
        <v>0</v>
      </c>
      <c r="P56">
        <f t="shared" si="53"/>
        <v>1</v>
      </c>
      <c r="Q56">
        <f t="shared" si="53"/>
        <v>1</v>
      </c>
      <c r="R56">
        <f t="shared" si="53"/>
        <v>1</v>
      </c>
      <c r="S56">
        <f t="shared" si="53"/>
        <v>1</v>
      </c>
      <c r="T56">
        <f t="shared" si="53"/>
        <v>0</v>
      </c>
      <c r="U56">
        <f t="shared" si="53"/>
        <v>0</v>
      </c>
      <c r="V56">
        <f t="shared" si="53"/>
        <v>0</v>
      </c>
      <c r="W56">
        <f t="shared" si="53"/>
        <v>0</v>
      </c>
      <c r="X56">
        <f t="shared" si="53"/>
        <v>0</v>
      </c>
      <c r="Y56">
        <f t="shared" si="53"/>
        <v>1</v>
      </c>
      <c r="Z56">
        <f t="shared" si="53"/>
        <v>1</v>
      </c>
      <c r="AA56">
        <f t="shared" si="53"/>
        <v>1</v>
      </c>
      <c r="AB56">
        <f t="shared" si="53"/>
        <v>1</v>
      </c>
      <c r="AC56">
        <f t="shared" si="53"/>
        <v>1</v>
      </c>
      <c r="AD56">
        <f t="shared" si="53"/>
        <v>1</v>
      </c>
      <c r="AE56">
        <f t="shared" si="53"/>
        <v>1</v>
      </c>
      <c r="AF56">
        <f t="shared" si="53"/>
        <v>0</v>
      </c>
      <c r="AG56">
        <f t="shared" si="53"/>
        <v>0</v>
      </c>
      <c r="AH56">
        <f t="shared" si="53"/>
        <v>0</v>
      </c>
      <c r="AI56">
        <f t="shared" si="53"/>
        <v>0</v>
      </c>
      <c r="AJ56">
        <f t="shared" si="53"/>
        <v>0</v>
      </c>
      <c r="AK56">
        <f t="shared" si="53"/>
        <v>0</v>
      </c>
      <c r="AL56">
        <f t="shared" si="53"/>
        <v>0</v>
      </c>
      <c r="AM56">
        <f t="shared" si="53"/>
        <v>0</v>
      </c>
      <c r="AN56">
        <f t="shared" si="53"/>
        <v>0</v>
      </c>
      <c r="AO56">
        <f t="shared" si="53"/>
        <v>0</v>
      </c>
      <c r="AP56">
        <f t="shared" si="53"/>
        <v>0</v>
      </c>
      <c r="AQ56">
        <f t="shared" si="53"/>
        <v>0</v>
      </c>
      <c r="AR56">
        <f t="shared" si="53"/>
        <v>0</v>
      </c>
      <c r="AS56">
        <f t="shared" si="53"/>
        <v>0</v>
      </c>
      <c r="AT56">
        <f t="shared" si="53"/>
        <v>0</v>
      </c>
      <c r="AU56">
        <f t="shared" si="53"/>
        <v>0</v>
      </c>
      <c r="AV56">
        <f t="shared" si="53"/>
        <v>0</v>
      </c>
      <c r="AW56">
        <f t="shared" si="53"/>
        <v>0</v>
      </c>
      <c r="AX56">
        <f t="shared" si="53"/>
        <v>0</v>
      </c>
      <c r="AY56">
        <f t="shared" si="53"/>
        <v>0</v>
      </c>
    </row>
    <row r="57" spans="3:55" x14ac:dyDescent="0.3">
      <c r="C57">
        <f t="shared" si="52"/>
        <v>0</v>
      </c>
      <c r="D57">
        <f t="shared" si="53"/>
        <v>0</v>
      </c>
      <c r="E57">
        <f t="shared" si="53"/>
        <v>0</v>
      </c>
      <c r="F57">
        <f t="shared" si="53"/>
        <v>0</v>
      </c>
      <c r="G57">
        <f t="shared" si="53"/>
        <v>0</v>
      </c>
      <c r="H57">
        <f t="shared" si="53"/>
        <v>0</v>
      </c>
      <c r="I57">
        <f t="shared" si="53"/>
        <v>1</v>
      </c>
      <c r="J57">
        <f t="shared" si="53"/>
        <v>1</v>
      </c>
      <c r="K57">
        <f t="shared" si="53"/>
        <v>1</v>
      </c>
      <c r="L57">
        <f t="shared" si="53"/>
        <v>1</v>
      </c>
      <c r="M57">
        <f t="shared" si="53"/>
        <v>1</v>
      </c>
      <c r="N57">
        <f t="shared" si="53"/>
        <v>0</v>
      </c>
      <c r="O57">
        <f t="shared" si="53"/>
        <v>0</v>
      </c>
      <c r="P57">
        <f t="shared" si="53"/>
        <v>0</v>
      </c>
      <c r="Q57">
        <f t="shared" si="53"/>
        <v>0</v>
      </c>
      <c r="R57">
        <f t="shared" si="53"/>
        <v>0</v>
      </c>
      <c r="S57">
        <f t="shared" si="53"/>
        <v>0</v>
      </c>
      <c r="T57">
        <f t="shared" si="53"/>
        <v>0</v>
      </c>
      <c r="U57">
        <f t="shared" si="53"/>
        <v>0</v>
      </c>
      <c r="V57">
        <f t="shared" si="53"/>
        <v>0</v>
      </c>
      <c r="W57">
        <f t="shared" si="53"/>
        <v>0</v>
      </c>
      <c r="X57">
        <f t="shared" si="53"/>
        <v>0</v>
      </c>
      <c r="Y57">
        <f t="shared" si="53"/>
        <v>0</v>
      </c>
      <c r="Z57">
        <f t="shared" si="53"/>
        <v>0</v>
      </c>
      <c r="AA57">
        <f t="shared" si="53"/>
        <v>0</v>
      </c>
      <c r="AB57">
        <f t="shared" si="53"/>
        <v>0</v>
      </c>
      <c r="AC57">
        <f t="shared" si="53"/>
        <v>0</v>
      </c>
      <c r="AD57">
        <f t="shared" si="53"/>
        <v>0</v>
      </c>
      <c r="AE57">
        <f t="shared" si="53"/>
        <v>0</v>
      </c>
      <c r="AF57">
        <f t="shared" si="53"/>
        <v>0</v>
      </c>
      <c r="AG57">
        <f t="shared" si="53"/>
        <v>0</v>
      </c>
      <c r="AH57">
        <f t="shared" si="53"/>
        <v>0</v>
      </c>
      <c r="AI57">
        <f t="shared" si="53"/>
        <v>0</v>
      </c>
      <c r="AJ57">
        <f t="shared" si="53"/>
        <v>0</v>
      </c>
      <c r="AK57">
        <f t="shared" si="53"/>
        <v>0</v>
      </c>
      <c r="AL57">
        <f t="shared" si="53"/>
        <v>0</v>
      </c>
      <c r="AM57">
        <f t="shared" si="53"/>
        <v>0</v>
      </c>
      <c r="AN57">
        <f t="shared" si="53"/>
        <v>0</v>
      </c>
      <c r="AO57">
        <f t="shared" si="53"/>
        <v>0</v>
      </c>
      <c r="AP57">
        <f t="shared" si="53"/>
        <v>0</v>
      </c>
      <c r="AQ57">
        <f t="shared" si="53"/>
        <v>0</v>
      </c>
      <c r="AR57">
        <f t="shared" si="53"/>
        <v>0</v>
      </c>
      <c r="AS57">
        <f t="shared" si="53"/>
        <v>0</v>
      </c>
      <c r="AT57">
        <f t="shared" si="53"/>
        <v>0</v>
      </c>
      <c r="AU57">
        <f t="shared" si="53"/>
        <v>0</v>
      </c>
      <c r="AV57">
        <f t="shared" si="53"/>
        <v>0</v>
      </c>
      <c r="AW57">
        <f t="shared" si="53"/>
        <v>0</v>
      </c>
      <c r="AX57">
        <f t="shared" si="53"/>
        <v>0</v>
      </c>
      <c r="AY57">
        <f t="shared" si="53"/>
        <v>0</v>
      </c>
    </row>
    <row r="58" spans="3:55" x14ac:dyDescent="0.3">
      <c r="C58">
        <f t="shared" si="52"/>
        <v>1</v>
      </c>
      <c r="D58">
        <f t="shared" si="53"/>
        <v>1</v>
      </c>
      <c r="E58">
        <f t="shared" si="53"/>
        <v>1</v>
      </c>
      <c r="F58">
        <f t="shared" si="53"/>
        <v>1</v>
      </c>
      <c r="G58">
        <f t="shared" si="53"/>
        <v>0</v>
      </c>
      <c r="H58">
        <f t="shared" si="53"/>
        <v>0</v>
      </c>
      <c r="I58">
        <f t="shared" si="53"/>
        <v>1</v>
      </c>
      <c r="J58">
        <f t="shared" si="53"/>
        <v>1</v>
      </c>
      <c r="K58">
        <f t="shared" si="53"/>
        <v>0</v>
      </c>
      <c r="L58">
        <f t="shared" si="53"/>
        <v>0</v>
      </c>
      <c r="M58">
        <f t="shared" si="53"/>
        <v>1</v>
      </c>
      <c r="N58">
        <f t="shared" si="53"/>
        <v>0</v>
      </c>
      <c r="O58">
        <f t="shared" si="53"/>
        <v>0</v>
      </c>
      <c r="P58">
        <f t="shared" si="53"/>
        <v>1</v>
      </c>
      <c r="Q58">
        <f t="shared" si="53"/>
        <v>0</v>
      </c>
      <c r="R58">
        <f t="shared" si="53"/>
        <v>0</v>
      </c>
      <c r="S58">
        <f t="shared" si="53"/>
        <v>1</v>
      </c>
      <c r="T58">
        <f t="shared" si="53"/>
        <v>0</v>
      </c>
      <c r="U58">
        <f t="shared" si="53"/>
        <v>1</v>
      </c>
      <c r="V58">
        <f t="shared" si="53"/>
        <v>1</v>
      </c>
      <c r="W58">
        <f t="shared" si="53"/>
        <v>1</v>
      </c>
      <c r="X58">
        <f t="shared" si="53"/>
        <v>0</v>
      </c>
      <c r="Y58">
        <f t="shared" si="53"/>
        <v>1</v>
      </c>
      <c r="Z58">
        <f t="shared" si="53"/>
        <v>0</v>
      </c>
      <c r="AA58">
        <f t="shared" si="53"/>
        <v>0</v>
      </c>
      <c r="AB58">
        <f t="shared" si="53"/>
        <v>0</v>
      </c>
      <c r="AC58">
        <f t="shared" si="53"/>
        <v>1</v>
      </c>
      <c r="AD58">
        <f t="shared" si="53"/>
        <v>1</v>
      </c>
      <c r="AE58">
        <f t="shared" si="53"/>
        <v>1</v>
      </c>
      <c r="AF58">
        <f t="shared" si="53"/>
        <v>0</v>
      </c>
      <c r="AG58">
        <f t="shared" si="53"/>
        <v>0</v>
      </c>
      <c r="AH58">
        <f t="shared" si="53"/>
        <v>0</v>
      </c>
      <c r="AI58">
        <f t="shared" si="53"/>
        <v>0</v>
      </c>
      <c r="AJ58">
        <f t="shared" si="53"/>
        <v>0</v>
      </c>
      <c r="AK58">
        <f t="shared" si="53"/>
        <v>0</v>
      </c>
      <c r="AL58">
        <f t="shared" si="53"/>
        <v>0</v>
      </c>
      <c r="AM58">
        <f t="shared" si="53"/>
        <v>0</v>
      </c>
      <c r="AN58">
        <f t="shared" si="53"/>
        <v>0</v>
      </c>
      <c r="AO58">
        <f t="shared" si="53"/>
        <v>0</v>
      </c>
      <c r="AP58">
        <f t="shared" si="53"/>
        <v>0</v>
      </c>
      <c r="AQ58">
        <f t="shared" si="53"/>
        <v>0</v>
      </c>
      <c r="AR58">
        <f t="shared" si="53"/>
        <v>0</v>
      </c>
      <c r="AS58">
        <f t="shared" si="53"/>
        <v>0</v>
      </c>
      <c r="AT58">
        <f t="shared" si="53"/>
        <v>0</v>
      </c>
      <c r="AU58">
        <f t="shared" si="53"/>
        <v>0</v>
      </c>
      <c r="AV58">
        <f t="shared" si="53"/>
        <v>0</v>
      </c>
      <c r="AW58">
        <f t="shared" si="53"/>
        <v>0</v>
      </c>
      <c r="AX58">
        <f t="shared" si="53"/>
        <v>0</v>
      </c>
      <c r="AY58">
        <f t="shared" si="53"/>
        <v>0</v>
      </c>
    </row>
    <row r="59" spans="3:55" x14ac:dyDescent="0.3">
      <c r="C59">
        <f t="shared" si="52"/>
        <v>1</v>
      </c>
      <c r="D59">
        <f t="shared" ref="D59:AY62" si="54">IF(OR($B8=MID(D8,1,1),$B8=MID(D8,2,1),$B8=MID(D8,3,1)),1,0)</f>
        <v>1</v>
      </c>
      <c r="E59">
        <f t="shared" si="54"/>
        <v>0</v>
      </c>
      <c r="F59">
        <f t="shared" si="54"/>
        <v>1</v>
      </c>
      <c r="G59">
        <f t="shared" si="54"/>
        <v>0</v>
      </c>
      <c r="H59">
        <f t="shared" si="54"/>
        <v>0</v>
      </c>
      <c r="I59">
        <f t="shared" si="54"/>
        <v>0</v>
      </c>
      <c r="J59">
        <f t="shared" si="54"/>
        <v>1</v>
      </c>
      <c r="K59">
        <f t="shared" si="54"/>
        <v>0</v>
      </c>
      <c r="L59">
        <f t="shared" si="54"/>
        <v>1</v>
      </c>
      <c r="M59">
        <f t="shared" si="54"/>
        <v>1</v>
      </c>
      <c r="N59">
        <f t="shared" si="54"/>
        <v>0</v>
      </c>
      <c r="O59">
        <f t="shared" si="54"/>
        <v>0</v>
      </c>
      <c r="P59">
        <f t="shared" si="54"/>
        <v>0</v>
      </c>
      <c r="Q59">
        <f t="shared" si="54"/>
        <v>0</v>
      </c>
      <c r="R59">
        <f t="shared" si="54"/>
        <v>1</v>
      </c>
      <c r="S59">
        <f t="shared" si="54"/>
        <v>1</v>
      </c>
      <c r="T59">
        <f t="shared" si="54"/>
        <v>1</v>
      </c>
      <c r="U59">
        <f t="shared" si="54"/>
        <v>1</v>
      </c>
      <c r="V59">
        <f t="shared" si="54"/>
        <v>1</v>
      </c>
      <c r="W59">
        <f t="shared" si="54"/>
        <v>1</v>
      </c>
      <c r="X59">
        <f t="shared" si="54"/>
        <v>1</v>
      </c>
      <c r="Y59">
        <f t="shared" si="54"/>
        <v>0</v>
      </c>
      <c r="Z59">
        <f t="shared" si="54"/>
        <v>0</v>
      </c>
      <c r="AA59">
        <f t="shared" si="54"/>
        <v>0</v>
      </c>
      <c r="AB59">
        <f t="shared" si="54"/>
        <v>0</v>
      </c>
      <c r="AC59">
        <f t="shared" si="54"/>
        <v>0</v>
      </c>
      <c r="AD59">
        <f t="shared" si="54"/>
        <v>0</v>
      </c>
      <c r="AE59">
        <f t="shared" si="54"/>
        <v>0</v>
      </c>
      <c r="AF59">
        <f t="shared" si="54"/>
        <v>0</v>
      </c>
      <c r="AG59">
        <f t="shared" si="54"/>
        <v>0</v>
      </c>
      <c r="AH59">
        <f t="shared" si="54"/>
        <v>0</v>
      </c>
      <c r="AI59">
        <f t="shared" si="54"/>
        <v>0</v>
      </c>
      <c r="AJ59">
        <f t="shared" si="54"/>
        <v>0</v>
      </c>
      <c r="AK59">
        <f t="shared" si="54"/>
        <v>0</v>
      </c>
      <c r="AL59">
        <f t="shared" si="54"/>
        <v>0</v>
      </c>
      <c r="AM59">
        <f t="shared" si="54"/>
        <v>0</v>
      </c>
      <c r="AN59">
        <f t="shared" si="54"/>
        <v>0</v>
      </c>
      <c r="AO59">
        <f t="shared" si="54"/>
        <v>0</v>
      </c>
      <c r="AP59">
        <f t="shared" si="54"/>
        <v>0</v>
      </c>
      <c r="AQ59">
        <f t="shared" si="54"/>
        <v>0</v>
      </c>
      <c r="AR59">
        <f t="shared" si="54"/>
        <v>0</v>
      </c>
      <c r="AS59">
        <f t="shared" si="54"/>
        <v>0</v>
      </c>
      <c r="AT59">
        <f t="shared" si="54"/>
        <v>0</v>
      </c>
      <c r="AU59">
        <f t="shared" si="54"/>
        <v>0</v>
      </c>
      <c r="AV59">
        <f t="shared" si="54"/>
        <v>0</v>
      </c>
      <c r="AW59">
        <f t="shared" si="54"/>
        <v>0</v>
      </c>
      <c r="AX59">
        <f t="shared" si="54"/>
        <v>0</v>
      </c>
      <c r="AY59">
        <f t="shared" si="54"/>
        <v>0</v>
      </c>
    </row>
    <row r="60" spans="3:55" x14ac:dyDescent="0.3">
      <c r="C60">
        <f t="shared" si="52"/>
        <v>1</v>
      </c>
      <c r="D60">
        <f t="shared" si="54"/>
        <v>1</v>
      </c>
      <c r="E60">
        <f t="shared" si="54"/>
        <v>0</v>
      </c>
      <c r="F60">
        <f t="shared" si="54"/>
        <v>1</v>
      </c>
      <c r="G60">
        <f t="shared" si="54"/>
        <v>0</v>
      </c>
      <c r="H60">
        <f t="shared" si="54"/>
        <v>0</v>
      </c>
      <c r="I60">
        <f t="shared" si="54"/>
        <v>0</v>
      </c>
      <c r="J60">
        <f t="shared" si="54"/>
        <v>0</v>
      </c>
      <c r="K60">
        <f t="shared" si="54"/>
        <v>0</v>
      </c>
      <c r="L60">
        <f t="shared" si="54"/>
        <v>0</v>
      </c>
      <c r="M60">
        <f t="shared" si="54"/>
        <v>1</v>
      </c>
      <c r="N60">
        <f t="shared" si="54"/>
        <v>1</v>
      </c>
      <c r="O60">
        <f t="shared" si="54"/>
        <v>0</v>
      </c>
      <c r="P60">
        <f t="shared" si="54"/>
        <v>1</v>
      </c>
      <c r="Q60">
        <f t="shared" si="54"/>
        <v>0</v>
      </c>
      <c r="R60">
        <f t="shared" si="54"/>
        <v>1</v>
      </c>
      <c r="S60">
        <f t="shared" si="54"/>
        <v>1</v>
      </c>
      <c r="T60">
        <f t="shared" si="54"/>
        <v>1</v>
      </c>
      <c r="U60">
        <f t="shared" si="54"/>
        <v>1</v>
      </c>
      <c r="V60">
        <f t="shared" si="54"/>
        <v>1</v>
      </c>
      <c r="W60">
        <f t="shared" si="54"/>
        <v>0</v>
      </c>
      <c r="X60">
        <f t="shared" si="54"/>
        <v>0</v>
      </c>
      <c r="Y60">
        <f t="shared" si="54"/>
        <v>1</v>
      </c>
      <c r="Z60">
        <f t="shared" si="54"/>
        <v>0</v>
      </c>
      <c r="AA60">
        <f t="shared" si="54"/>
        <v>0</v>
      </c>
      <c r="AB60">
        <f t="shared" si="54"/>
        <v>0</v>
      </c>
      <c r="AC60">
        <f t="shared" si="54"/>
        <v>1</v>
      </c>
      <c r="AD60">
        <f t="shared" si="54"/>
        <v>1</v>
      </c>
      <c r="AE60">
        <f t="shared" si="54"/>
        <v>1</v>
      </c>
      <c r="AF60">
        <f t="shared" si="54"/>
        <v>0</v>
      </c>
      <c r="AG60">
        <f t="shared" si="54"/>
        <v>0</v>
      </c>
      <c r="AH60">
        <f t="shared" si="54"/>
        <v>0</v>
      </c>
      <c r="AI60">
        <f t="shared" si="54"/>
        <v>0</v>
      </c>
      <c r="AJ60">
        <f t="shared" si="54"/>
        <v>0</v>
      </c>
      <c r="AK60">
        <f t="shared" si="54"/>
        <v>0</v>
      </c>
      <c r="AL60">
        <f t="shared" si="54"/>
        <v>0</v>
      </c>
      <c r="AM60">
        <f t="shared" si="54"/>
        <v>0</v>
      </c>
      <c r="AN60">
        <f t="shared" si="54"/>
        <v>0</v>
      </c>
      <c r="AO60">
        <f t="shared" si="54"/>
        <v>0</v>
      </c>
      <c r="AP60">
        <f t="shared" si="54"/>
        <v>0</v>
      </c>
      <c r="AQ60">
        <f t="shared" si="54"/>
        <v>0</v>
      </c>
      <c r="AR60">
        <f t="shared" si="54"/>
        <v>0</v>
      </c>
      <c r="AS60">
        <f t="shared" si="54"/>
        <v>0</v>
      </c>
      <c r="AT60">
        <f t="shared" si="54"/>
        <v>0</v>
      </c>
      <c r="AU60">
        <f t="shared" si="54"/>
        <v>0</v>
      </c>
      <c r="AV60">
        <f t="shared" si="54"/>
        <v>0</v>
      </c>
      <c r="AW60">
        <f t="shared" si="54"/>
        <v>0</v>
      </c>
      <c r="AX60">
        <f t="shared" si="54"/>
        <v>0</v>
      </c>
      <c r="AY60">
        <f t="shared" si="54"/>
        <v>0</v>
      </c>
    </row>
    <row r="61" spans="3:55" x14ac:dyDescent="0.3">
      <c r="C61">
        <f t="shared" si="52"/>
        <v>0</v>
      </c>
      <c r="D61">
        <f t="shared" si="54"/>
        <v>1</v>
      </c>
      <c r="E61">
        <f t="shared" si="54"/>
        <v>0</v>
      </c>
      <c r="F61">
        <f t="shared" si="54"/>
        <v>0</v>
      </c>
      <c r="G61">
        <f t="shared" si="54"/>
        <v>1</v>
      </c>
      <c r="H61">
        <f t="shared" si="54"/>
        <v>0</v>
      </c>
      <c r="I61">
        <f t="shared" si="54"/>
        <v>0</v>
      </c>
      <c r="J61">
        <f t="shared" si="54"/>
        <v>0</v>
      </c>
      <c r="K61">
        <f t="shared" si="54"/>
        <v>0</v>
      </c>
      <c r="L61">
        <f t="shared" si="54"/>
        <v>0</v>
      </c>
      <c r="M61">
        <f t="shared" si="54"/>
        <v>0</v>
      </c>
      <c r="N61">
        <f t="shared" si="54"/>
        <v>0</v>
      </c>
      <c r="O61">
        <f t="shared" si="54"/>
        <v>0</v>
      </c>
      <c r="P61">
        <f t="shared" si="54"/>
        <v>0</v>
      </c>
      <c r="Q61">
        <f t="shared" si="54"/>
        <v>1</v>
      </c>
      <c r="R61">
        <f t="shared" si="54"/>
        <v>0</v>
      </c>
      <c r="S61">
        <f t="shared" si="54"/>
        <v>0</v>
      </c>
      <c r="T61">
        <f t="shared" si="54"/>
        <v>0</v>
      </c>
      <c r="U61">
        <f t="shared" si="54"/>
        <v>1</v>
      </c>
      <c r="V61">
        <f t="shared" si="54"/>
        <v>0</v>
      </c>
      <c r="W61">
        <f t="shared" si="54"/>
        <v>0</v>
      </c>
      <c r="X61">
        <f t="shared" si="54"/>
        <v>0</v>
      </c>
      <c r="Y61">
        <f t="shared" si="54"/>
        <v>0</v>
      </c>
      <c r="Z61">
        <f t="shared" si="54"/>
        <v>0</v>
      </c>
      <c r="AA61">
        <f t="shared" si="54"/>
        <v>0</v>
      </c>
      <c r="AB61">
        <f t="shared" si="54"/>
        <v>0</v>
      </c>
      <c r="AC61">
        <f t="shared" si="54"/>
        <v>0</v>
      </c>
      <c r="AD61">
        <f t="shared" si="54"/>
        <v>0</v>
      </c>
      <c r="AE61">
        <f t="shared" si="54"/>
        <v>0</v>
      </c>
      <c r="AF61">
        <f t="shared" si="54"/>
        <v>0</v>
      </c>
      <c r="AG61">
        <f t="shared" si="54"/>
        <v>0</v>
      </c>
      <c r="AH61">
        <f t="shared" si="54"/>
        <v>0</v>
      </c>
      <c r="AI61">
        <f t="shared" si="54"/>
        <v>0</v>
      </c>
      <c r="AJ61">
        <f t="shared" si="54"/>
        <v>0</v>
      </c>
      <c r="AK61">
        <f t="shared" si="54"/>
        <v>0</v>
      </c>
      <c r="AL61">
        <f t="shared" si="54"/>
        <v>0</v>
      </c>
      <c r="AM61">
        <f t="shared" si="54"/>
        <v>0</v>
      </c>
      <c r="AN61">
        <f t="shared" si="54"/>
        <v>0</v>
      </c>
      <c r="AO61">
        <f t="shared" si="54"/>
        <v>0</v>
      </c>
      <c r="AP61">
        <f t="shared" si="54"/>
        <v>0</v>
      </c>
      <c r="AQ61">
        <f t="shared" si="54"/>
        <v>0</v>
      </c>
      <c r="AR61">
        <f t="shared" si="54"/>
        <v>0</v>
      </c>
      <c r="AS61">
        <f t="shared" si="54"/>
        <v>0</v>
      </c>
      <c r="AT61">
        <f t="shared" si="54"/>
        <v>0</v>
      </c>
      <c r="AU61">
        <f t="shared" si="54"/>
        <v>0</v>
      </c>
      <c r="AV61">
        <f t="shared" si="54"/>
        <v>0</v>
      </c>
      <c r="AW61">
        <f t="shared" si="54"/>
        <v>0</v>
      </c>
      <c r="AX61">
        <f t="shared" si="54"/>
        <v>0</v>
      </c>
      <c r="AY61">
        <f t="shared" si="54"/>
        <v>0</v>
      </c>
    </row>
    <row r="62" spans="3:55" x14ac:dyDescent="0.3">
      <c r="C62">
        <f t="shared" si="52"/>
        <v>1</v>
      </c>
      <c r="D62">
        <f t="shared" si="54"/>
        <v>1</v>
      </c>
      <c r="E62">
        <f t="shared" si="54"/>
        <v>0</v>
      </c>
      <c r="F62">
        <f t="shared" si="54"/>
        <v>1</v>
      </c>
      <c r="G62">
        <f t="shared" si="54"/>
        <v>0</v>
      </c>
      <c r="H62">
        <f t="shared" si="54"/>
        <v>0</v>
      </c>
      <c r="I62">
        <f t="shared" si="54"/>
        <v>1</v>
      </c>
      <c r="J62">
        <f t="shared" si="54"/>
        <v>1</v>
      </c>
      <c r="K62">
        <f t="shared" si="54"/>
        <v>0</v>
      </c>
      <c r="L62">
        <f t="shared" si="54"/>
        <v>1</v>
      </c>
      <c r="M62">
        <f t="shared" si="54"/>
        <v>1</v>
      </c>
      <c r="N62">
        <f t="shared" si="54"/>
        <v>1</v>
      </c>
      <c r="O62">
        <f t="shared" si="54"/>
        <v>1</v>
      </c>
      <c r="P62">
        <f t="shared" si="54"/>
        <v>1</v>
      </c>
      <c r="Q62">
        <f t="shared" si="54"/>
        <v>0</v>
      </c>
      <c r="R62">
        <f t="shared" si="54"/>
        <v>0</v>
      </c>
      <c r="S62">
        <f t="shared" si="54"/>
        <v>0</v>
      </c>
      <c r="T62">
        <f t="shared" si="54"/>
        <v>1</v>
      </c>
      <c r="U62">
        <f t="shared" si="54"/>
        <v>1</v>
      </c>
      <c r="V62">
        <f t="shared" si="54"/>
        <v>1</v>
      </c>
      <c r="W62">
        <f t="shared" si="54"/>
        <v>0</v>
      </c>
      <c r="X62">
        <f t="shared" si="54"/>
        <v>1</v>
      </c>
      <c r="Y62">
        <f t="shared" si="54"/>
        <v>0</v>
      </c>
      <c r="Z62">
        <f t="shared" si="54"/>
        <v>1</v>
      </c>
      <c r="AA62">
        <f t="shared" si="54"/>
        <v>1</v>
      </c>
      <c r="AB62">
        <f t="shared" si="54"/>
        <v>0</v>
      </c>
      <c r="AC62">
        <f t="shared" si="54"/>
        <v>1</v>
      </c>
      <c r="AD62">
        <f t="shared" si="54"/>
        <v>1</v>
      </c>
      <c r="AE62">
        <f t="shared" si="54"/>
        <v>0</v>
      </c>
      <c r="AF62">
        <f t="shared" si="54"/>
        <v>1</v>
      </c>
      <c r="AG62">
        <f t="shared" si="54"/>
        <v>0</v>
      </c>
      <c r="AH62">
        <f t="shared" si="54"/>
        <v>0</v>
      </c>
      <c r="AI62">
        <f t="shared" si="54"/>
        <v>0</v>
      </c>
      <c r="AJ62">
        <f t="shared" si="54"/>
        <v>0</v>
      </c>
      <c r="AK62">
        <f t="shared" si="54"/>
        <v>0</v>
      </c>
      <c r="AL62">
        <f t="shared" si="54"/>
        <v>0</v>
      </c>
      <c r="AM62">
        <f t="shared" si="54"/>
        <v>0</v>
      </c>
      <c r="AN62">
        <f t="shared" si="54"/>
        <v>0</v>
      </c>
      <c r="AO62">
        <f t="shared" si="54"/>
        <v>0</v>
      </c>
      <c r="AP62">
        <f t="shared" si="54"/>
        <v>0</v>
      </c>
      <c r="AQ62">
        <f t="shared" si="54"/>
        <v>0</v>
      </c>
      <c r="AR62">
        <f t="shared" si="54"/>
        <v>0</v>
      </c>
      <c r="AS62">
        <f t="shared" si="54"/>
        <v>0</v>
      </c>
      <c r="AT62">
        <f t="shared" si="54"/>
        <v>0</v>
      </c>
      <c r="AU62">
        <f t="shared" si="54"/>
        <v>0</v>
      </c>
      <c r="AV62">
        <f t="shared" si="54"/>
        <v>0</v>
      </c>
      <c r="AW62">
        <f t="shared" si="54"/>
        <v>0</v>
      </c>
      <c r="AX62">
        <f t="shared" si="54"/>
        <v>0</v>
      </c>
      <c r="AY62">
        <f t="shared" si="54"/>
        <v>0</v>
      </c>
    </row>
    <row r="63" spans="3:55" x14ac:dyDescent="0.3">
      <c r="C63">
        <f t="shared" si="52"/>
        <v>1</v>
      </c>
      <c r="D63">
        <f t="shared" ref="D63:AY65" si="55">IF(OR($B12=MID(D12,1,1),$B12=MID(D12,2,1),$B12=MID(D12,3,1)),1,0)</f>
        <v>0</v>
      </c>
      <c r="E63">
        <f t="shared" si="55"/>
        <v>1</v>
      </c>
      <c r="F63">
        <f t="shared" si="55"/>
        <v>0</v>
      </c>
      <c r="G63">
        <f t="shared" si="55"/>
        <v>1</v>
      </c>
      <c r="H63">
        <f t="shared" si="55"/>
        <v>1</v>
      </c>
      <c r="I63">
        <f t="shared" si="55"/>
        <v>1</v>
      </c>
      <c r="J63">
        <f t="shared" si="55"/>
        <v>1</v>
      </c>
      <c r="K63">
        <f t="shared" si="55"/>
        <v>0</v>
      </c>
      <c r="L63">
        <f t="shared" si="55"/>
        <v>1</v>
      </c>
      <c r="M63">
        <f t="shared" si="55"/>
        <v>1</v>
      </c>
      <c r="N63">
        <f t="shared" si="55"/>
        <v>1</v>
      </c>
      <c r="O63">
        <f t="shared" si="55"/>
        <v>1</v>
      </c>
      <c r="P63">
        <f t="shared" si="55"/>
        <v>1</v>
      </c>
      <c r="Q63">
        <f t="shared" si="55"/>
        <v>1</v>
      </c>
      <c r="R63">
        <f t="shared" si="55"/>
        <v>1</v>
      </c>
      <c r="S63">
        <f t="shared" si="55"/>
        <v>1</v>
      </c>
      <c r="T63">
        <f t="shared" si="55"/>
        <v>1</v>
      </c>
      <c r="U63">
        <f t="shared" si="55"/>
        <v>0</v>
      </c>
      <c r="V63">
        <f t="shared" si="55"/>
        <v>0</v>
      </c>
      <c r="W63">
        <f t="shared" si="55"/>
        <v>1</v>
      </c>
      <c r="X63">
        <f t="shared" si="55"/>
        <v>1</v>
      </c>
      <c r="Y63">
        <f t="shared" si="55"/>
        <v>1</v>
      </c>
      <c r="Z63">
        <f t="shared" si="55"/>
        <v>1</v>
      </c>
      <c r="AA63">
        <f t="shared" si="55"/>
        <v>1</v>
      </c>
      <c r="AB63">
        <f t="shared" si="55"/>
        <v>0</v>
      </c>
      <c r="AC63">
        <f t="shared" si="55"/>
        <v>1</v>
      </c>
      <c r="AD63">
        <f t="shared" si="55"/>
        <v>1</v>
      </c>
      <c r="AE63">
        <f t="shared" si="55"/>
        <v>0</v>
      </c>
      <c r="AF63">
        <f t="shared" si="55"/>
        <v>1</v>
      </c>
      <c r="AG63">
        <f t="shared" si="55"/>
        <v>0</v>
      </c>
      <c r="AH63">
        <f t="shared" si="55"/>
        <v>0</v>
      </c>
      <c r="AI63">
        <f t="shared" si="55"/>
        <v>0</v>
      </c>
      <c r="AJ63">
        <f t="shared" si="55"/>
        <v>0</v>
      </c>
      <c r="AK63">
        <f t="shared" si="55"/>
        <v>0</v>
      </c>
      <c r="AL63">
        <f t="shared" si="55"/>
        <v>0</v>
      </c>
      <c r="AM63">
        <f t="shared" si="55"/>
        <v>0</v>
      </c>
      <c r="AN63">
        <f t="shared" si="55"/>
        <v>0</v>
      </c>
      <c r="AO63">
        <f t="shared" si="55"/>
        <v>0</v>
      </c>
      <c r="AP63">
        <f t="shared" si="55"/>
        <v>0</v>
      </c>
      <c r="AQ63">
        <f t="shared" si="55"/>
        <v>0</v>
      </c>
      <c r="AR63">
        <f t="shared" si="55"/>
        <v>0</v>
      </c>
      <c r="AS63">
        <f t="shared" si="55"/>
        <v>0</v>
      </c>
      <c r="AT63">
        <f t="shared" si="55"/>
        <v>0</v>
      </c>
      <c r="AU63">
        <f t="shared" si="55"/>
        <v>0</v>
      </c>
      <c r="AV63">
        <f t="shared" si="55"/>
        <v>0</v>
      </c>
      <c r="AW63">
        <f t="shared" si="55"/>
        <v>0</v>
      </c>
      <c r="AX63">
        <f t="shared" si="55"/>
        <v>0</v>
      </c>
      <c r="AY63">
        <f t="shared" si="55"/>
        <v>0</v>
      </c>
    </row>
    <row r="64" spans="3:55" x14ac:dyDescent="0.3">
      <c r="C64">
        <f t="shared" si="52"/>
        <v>0</v>
      </c>
      <c r="D64">
        <f t="shared" si="55"/>
        <v>0</v>
      </c>
      <c r="E64">
        <f t="shared" si="55"/>
        <v>0</v>
      </c>
      <c r="F64">
        <f t="shared" si="55"/>
        <v>0</v>
      </c>
      <c r="G64">
        <f t="shared" si="55"/>
        <v>1</v>
      </c>
      <c r="H64">
        <f t="shared" si="55"/>
        <v>0</v>
      </c>
      <c r="I64">
        <f t="shared" si="55"/>
        <v>0</v>
      </c>
      <c r="J64">
        <f t="shared" si="55"/>
        <v>1</v>
      </c>
      <c r="K64">
        <f t="shared" si="55"/>
        <v>1</v>
      </c>
      <c r="L64">
        <f t="shared" si="55"/>
        <v>1</v>
      </c>
      <c r="M64">
        <f t="shared" si="55"/>
        <v>0</v>
      </c>
      <c r="N64">
        <f t="shared" si="55"/>
        <v>0</v>
      </c>
      <c r="O64">
        <f t="shared" si="55"/>
        <v>1</v>
      </c>
      <c r="P64">
        <f t="shared" si="55"/>
        <v>1</v>
      </c>
      <c r="Q64">
        <f t="shared" si="55"/>
        <v>0</v>
      </c>
      <c r="R64">
        <f t="shared" si="55"/>
        <v>1</v>
      </c>
      <c r="S64">
        <f t="shared" si="55"/>
        <v>0</v>
      </c>
      <c r="T64">
        <f t="shared" si="55"/>
        <v>0</v>
      </c>
      <c r="U64">
        <f t="shared" si="55"/>
        <v>0</v>
      </c>
      <c r="V64">
        <f t="shared" si="55"/>
        <v>0</v>
      </c>
      <c r="W64">
        <f t="shared" si="55"/>
        <v>0</v>
      </c>
      <c r="X64">
        <f t="shared" si="55"/>
        <v>1</v>
      </c>
      <c r="Y64">
        <f t="shared" si="55"/>
        <v>1</v>
      </c>
      <c r="Z64">
        <f t="shared" si="55"/>
        <v>1</v>
      </c>
      <c r="AA64">
        <f t="shared" si="55"/>
        <v>1</v>
      </c>
      <c r="AB64">
        <f t="shared" si="55"/>
        <v>0</v>
      </c>
      <c r="AC64">
        <f t="shared" si="55"/>
        <v>0</v>
      </c>
      <c r="AD64">
        <f t="shared" si="55"/>
        <v>0</v>
      </c>
      <c r="AE64">
        <f t="shared" si="55"/>
        <v>0</v>
      </c>
      <c r="AF64">
        <f t="shared" si="55"/>
        <v>0</v>
      </c>
      <c r="AG64">
        <f t="shared" si="55"/>
        <v>0</v>
      </c>
      <c r="AH64">
        <f t="shared" si="55"/>
        <v>0</v>
      </c>
      <c r="AI64">
        <f t="shared" si="55"/>
        <v>0</v>
      </c>
      <c r="AJ64">
        <f t="shared" si="55"/>
        <v>0</v>
      </c>
      <c r="AK64">
        <f t="shared" si="55"/>
        <v>0</v>
      </c>
      <c r="AL64">
        <f t="shared" si="55"/>
        <v>0</v>
      </c>
      <c r="AM64">
        <f t="shared" si="55"/>
        <v>0</v>
      </c>
      <c r="AN64">
        <f t="shared" si="55"/>
        <v>0</v>
      </c>
      <c r="AO64">
        <f t="shared" si="55"/>
        <v>0</v>
      </c>
      <c r="AP64">
        <f t="shared" si="55"/>
        <v>0</v>
      </c>
      <c r="AQ64">
        <f t="shared" si="55"/>
        <v>0</v>
      </c>
      <c r="AR64">
        <f t="shared" si="55"/>
        <v>0</v>
      </c>
      <c r="AS64">
        <f t="shared" si="55"/>
        <v>0</v>
      </c>
      <c r="AT64">
        <f t="shared" si="55"/>
        <v>0</v>
      </c>
      <c r="AU64">
        <f t="shared" si="55"/>
        <v>0</v>
      </c>
      <c r="AV64">
        <f t="shared" si="55"/>
        <v>0</v>
      </c>
      <c r="AW64">
        <f t="shared" si="55"/>
        <v>0</v>
      </c>
      <c r="AX64">
        <f t="shared" si="55"/>
        <v>0</v>
      </c>
      <c r="AY64">
        <f t="shared" si="55"/>
        <v>0</v>
      </c>
    </row>
    <row r="65" spans="3:51" x14ac:dyDescent="0.3">
      <c r="C65">
        <f t="shared" si="52"/>
        <v>0</v>
      </c>
      <c r="D65">
        <f t="shared" si="55"/>
        <v>0</v>
      </c>
      <c r="E65">
        <f t="shared" si="55"/>
        <v>0</v>
      </c>
      <c r="F65">
        <f t="shared" si="55"/>
        <v>0</v>
      </c>
      <c r="G65">
        <f t="shared" si="55"/>
        <v>0</v>
      </c>
      <c r="H65">
        <f t="shared" si="55"/>
        <v>0</v>
      </c>
      <c r="I65">
        <f t="shared" si="55"/>
        <v>0</v>
      </c>
      <c r="J65">
        <f t="shared" si="55"/>
        <v>0</v>
      </c>
      <c r="K65">
        <f t="shared" si="55"/>
        <v>0</v>
      </c>
      <c r="L65">
        <f t="shared" si="55"/>
        <v>1</v>
      </c>
      <c r="M65">
        <f t="shared" si="55"/>
        <v>0</v>
      </c>
      <c r="N65">
        <f t="shared" si="55"/>
        <v>0</v>
      </c>
      <c r="O65">
        <f t="shared" si="55"/>
        <v>0</v>
      </c>
      <c r="P65">
        <f t="shared" si="55"/>
        <v>1</v>
      </c>
      <c r="Q65">
        <f t="shared" si="55"/>
        <v>0</v>
      </c>
      <c r="R65">
        <f t="shared" si="55"/>
        <v>0</v>
      </c>
      <c r="S65">
        <f t="shared" si="55"/>
        <v>1</v>
      </c>
      <c r="T65">
        <f t="shared" si="55"/>
        <v>0</v>
      </c>
      <c r="U65">
        <f t="shared" si="55"/>
        <v>0</v>
      </c>
      <c r="V65">
        <f t="shared" si="55"/>
        <v>0</v>
      </c>
      <c r="W65">
        <f t="shared" si="55"/>
        <v>1</v>
      </c>
      <c r="X65">
        <f t="shared" si="55"/>
        <v>0</v>
      </c>
      <c r="Y65">
        <f t="shared" si="55"/>
        <v>1</v>
      </c>
      <c r="Z65">
        <f t="shared" si="55"/>
        <v>0</v>
      </c>
      <c r="AA65">
        <f t="shared" si="55"/>
        <v>0</v>
      </c>
      <c r="AB65">
        <f t="shared" si="55"/>
        <v>0</v>
      </c>
      <c r="AC65">
        <f t="shared" si="55"/>
        <v>0</v>
      </c>
      <c r="AD65">
        <f t="shared" si="55"/>
        <v>0</v>
      </c>
      <c r="AE65">
        <f t="shared" si="55"/>
        <v>0</v>
      </c>
      <c r="AF65">
        <f t="shared" si="55"/>
        <v>1</v>
      </c>
      <c r="AG65">
        <f t="shared" si="55"/>
        <v>0</v>
      </c>
      <c r="AH65">
        <f t="shared" si="55"/>
        <v>0</v>
      </c>
      <c r="AI65">
        <f t="shared" si="55"/>
        <v>0</v>
      </c>
      <c r="AJ65">
        <f t="shared" si="55"/>
        <v>0</v>
      </c>
      <c r="AK65">
        <f t="shared" si="55"/>
        <v>0</v>
      </c>
      <c r="AL65">
        <f t="shared" si="55"/>
        <v>0</v>
      </c>
      <c r="AM65">
        <f t="shared" si="55"/>
        <v>0</v>
      </c>
      <c r="AN65">
        <f t="shared" si="55"/>
        <v>0</v>
      </c>
      <c r="AO65">
        <f t="shared" si="55"/>
        <v>0</v>
      </c>
      <c r="AP65">
        <f t="shared" si="55"/>
        <v>0</v>
      </c>
      <c r="AQ65">
        <f t="shared" si="55"/>
        <v>0</v>
      </c>
      <c r="AR65">
        <f t="shared" si="55"/>
        <v>0</v>
      </c>
      <c r="AS65">
        <f t="shared" si="55"/>
        <v>0</v>
      </c>
      <c r="AT65">
        <f t="shared" si="55"/>
        <v>0</v>
      </c>
      <c r="AU65">
        <f t="shared" si="55"/>
        <v>0</v>
      </c>
      <c r="AV65">
        <f t="shared" si="55"/>
        <v>0</v>
      </c>
      <c r="AW65">
        <f t="shared" si="55"/>
        <v>0</v>
      </c>
      <c r="AX65">
        <f t="shared" si="55"/>
        <v>0</v>
      </c>
      <c r="AY65">
        <f t="shared" si="55"/>
        <v>0</v>
      </c>
    </row>
  </sheetData>
  <phoneticPr fontId="2" type="noConversion"/>
  <conditionalFormatting sqref="A16">
    <cfRule type="cellIs" dxfId="10" priority="6" operator="equal">
      <formula>"erro"</formula>
    </cfRule>
  </conditionalFormatting>
  <conditionalFormatting sqref="A18">
    <cfRule type="cellIs" dxfId="9" priority="5" operator="equal">
      <formula>"erro"</formula>
    </cfRule>
  </conditionalFormatting>
  <conditionalFormatting sqref="B1:B1048576">
    <cfRule type="cellIs" dxfId="8" priority="4" operator="equal">
      <formula>"erro"</formula>
    </cfRule>
  </conditionalFormatting>
  <conditionalFormatting sqref="B18:XFD18">
    <cfRule type="cellIs" dxfId="7" priority="307" stopIfTrue="1" operator="greaterThan">
      <formula>9</formula>
    </cfRule>
  </conditionalFormatting>
  <conditionalFormatting sqref="AG2:AT14">
    <cfRule type="cellIs" dxfId="6" priority="7" operator="equal">
      <formula>"erro"</formula>
    </cfRule>
  </conditionalFormatting>
  <conditionalFormatting sqref="C18:AF18">
    <cfRule type="cellIs" dxfId="0" priority="1" operator="equal">
      <formula>9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Vieira</dc:creator>
  <cp:lastModifiedBy>José Vieira</cp:lastModifiedBy>
  <dcterms:created xsi:type="dcterms:W3CDTF">2023-09-19T15:52:36Z</dcterms:created>
  <dcterms:modified xsi:type="dcterms:W3CDTF">2025-12-08T08:47:17Z</dcterms:modified>
</cp:coreProperties>
</file>